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tsukuba-my.sharepoint.com/personal/s1911313_u_tsukuba_ac_jp/Documents/GitHub/roadline-geojson/"/>
    </mc:Choice>
  </mc:AlternateContent>
  <xr:revisionPtr revIDLastSave="336" documentId="8_{F53FA4F9-F07A-6547-839F-49342C10458D}" xr6:coauthVersionLast="47" xr6:coauthVersionMax="47" xr10:uidLastSave="{BF4C78C6-B7DA-2A48-A0AD-9BB95855724E}"/>
  <bookViews>
    <workbookView xWindow="0" yWindow="740" windowWidth="29400" windowHeight="18380" activeTab="1" xr2:uid="{F04191A0-DEB6-7045-9808-29928ABCA6F7}"/>
  </bookViews>
  <sheets>
    <sheet name="1047 深川雨竜線" sheetId="1" r:id="rId1"/>
    <sheet name="3280 妹背牛停車場線" sheetId="3" r:id="rId2"/>
    <sheet name="3284 深川停車場線" sheetId="5" r:id="rId3"/>
    <sheet name="3324 石狩沼田停車場線" sheetId="6" r:id="rId4"/>
    <sheet name="3372 秩父別停車場線" sheetId="7" r:id="rId5"/>
    <sheet name="3429 多度志停車場線" sheetId="8" r:id="rId6"/>
    <sheet name="3565 和停車場線" sheetId="10" r:id="rId7"/>
    <sheet name="4068 留萌北竜線" sheetId="11" r:id="rId8"/>
    <sheet name="Sheet1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4" l="1"/>
  <c r="N1" i="4"/>
  <c r="M3" i="4"/>
  <c r="M4" i="4"/>
  <c r="M5" i="4"/>
  <c r="M6" i="4"/>
  <c r="M7" i="4"/>
  <c r="M8" i="4"/>
  <c r="M9" i="4"/>
  <c r="M10" i="4"/>
  <c r="M11" i="4"/>
  <c r="M12" i="4"/>
  <c r="M2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N11" i="4"/>
  <c r="N10" i="4"/>
  <c r="N9" i="4"/>
  <c r="N8" i="4"/>
  <c r="N7" i="4"/>
  <c r="N6" i="4"/>
  <c r="N5" i="4"/>
  <c r="N4" i="4"/>
  <c r="N3" i="4"/>
  <c r="M1" i="4"/>
  <c r="I13" i="4"/>
  <c r="I14" i="4"/>
  <c r="I15" i="4"/>
  <c r="I16" i="4"/>
  <c r="I17" i="4"/>
  <c r="I18" i="4"/>
  <c r="I19" i="4"/>
  <c r="I20" i="4"/>
  <c r="I21" i="4"/>
  <c r="I22" i="4"/>
  <c r="I12" i="4"/>
  <c r="I4" i="4"/>
  <c r="I5" i="4"/>
  <c r="I6" i="4"/>
  <c r="I7" i="4"/>
  <c r="I8" i="4"/>
  <c r="I9" i="4"/>
  <c r="I10" i="4"/>
  <c r="I11" i="4"/>
  <c r="I3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1" i="4"/>
  <c r="I2" i="4"/>
  <c r="I1" i="4"/>
  <c r="N31" i="4"/>
  <c r="M31" i="4"/>
  <c r="J31" i="4"/>
  <c r="I31" i="4"/>
  <c r="N30" i="4"/>
  <c r="M30" i="4"/>
  <c r="J30" i="4"/>
  <c r="I30" i="4"/>
  <c r="N29" i="4"/>
  <c r="M29" i="4"/>
  <c r="J29" i="4"/>
  <c r="I29" i="4"/>
  <c r="N28" i="4"/>
  <c r="M28" i="4"/>
  <c r="J28" i="4"/>
  <c r="I28" i="4"/>
  <c r="N27" i="4"/>
  <c r="M27" i="4"/>
  <c r="J27" i="4"/>
  <c r="I27" i="4"/>
  <c r="N26" i="4"/>
  <c r="M26" i="4"/>
  <c r="J26" i="4"/>
  <c r="I26" i="4"/>
  <c r="N25" i="4"/>
  <c r="M25" i="4"/>
  <c r="J25" i="4"/>
  <c r="I25" i="4"/>
  <c r="N24" i="4"/>
  <c r="M24" i="4"/>
  <c r="J24" i="4"/>
  <c r="I24" i="4"/>
  <c r="N23" i="4"/>
  <c r="M23" i="4"/>
  <c r="J23" i="4"/>
  <c r="I23" i="4"/>
</calcChain>
</file>

<file path=xl/sharedStrings.xml><?xml version="1.0" encoding="utf-8"?>
<sst xmlns="http://schemas.openxmlformats.org/spreadsheetml/2006/main" count="1413" uniqueCount="179">
  <si>
    <t>R-14</t>
  </si>
  <si>
    <t>R-13</t>
  </si>
  <si>
    <t>R-12</t>
  </si>
  <si>
    <t>R-11</t>
  </si>
  <si>
    <t>R-10</t>
  </si>
  <si>
    <t>R-9</t>
  </si>
  <si>
    <t>R-8</t>
  </si>
  <si>
    <t>R-7</t>
  </si>
  <si>
    <t>R-6</t>
  </si>
  <si>
    <t>R-5</t>
  </si>
  <si>
    <t>R-4</t>
  </si>
  <si>
    <t>R-3</t>
  </si>
  <si>
    <t>R-2</t>
  </si>
  <si>
    <t>R-1</t>
    <phoneticPr fontId="1"/>
  </si>
  <si>
    <t>L-14</t>
  </si>
  <si>
    <t>L-13</t>
  </si>
  <si>
    <t>L-12</t>
  </si>
  <si>
    <t>L-11</t>
  </si>
  <si>
    <t>L-10</t>
  </si>
  <si>
    <t>L-9</t>
  </si>
  <si>
    <t>L-8</t>
  </si>
  <si>
    <t>L-7</t>
  </si>
  <si>
    <t>L-6</t>
  </si>
  <si>
    <t>L-5</t>
  </si>
  <si>
    <t>L-4</t>
  </si>
  <si>
    <t>L-3</t>
  </si>
  <si>
    <t>L-2</t>
    <phoneticPr fontId="1"/>
  </si>
  <si>
    <t>L-1</t>
    <phoneticPr fontId="1"/>
  </si>
  <si>
    <t>L-座標番号</t>
    <rPh sb="2" eb="6">
      <t>ザヒョウ</t>
    </rPh>
    <phoneticPr fontId="1"/>
  </si>
  <si>
    <t>L-X座標</t>
    <rPh sb="3" eb="5">
      <t>ザヒョウ</t>
    </rPh>
    <phoneticPr fontId="1"/>
  </si>
  <si>
    <t>L-Y座標</t>
    <rPh sb="3" eb="5">
      <t>ザヒョウ</t>
    </rPh>
    <phoneticPr fontId="1"/>
  </si>
  <si>
    <t>R-座標番号</t>
    <rPh sb="2" eb="6">
      <t>ザヒョウ</t>
    </rPh>
    <phoneticPr fontId="1"/>
  </si>
  <si>
    <t>R-X座標</t>
    <rPh sb="3" eb="5">
      <t>ザヒョウ</t>
    </rPh>
    <phoneticPr fontId="1"/>
  </si>
  <si>
    <t>R-Y座標</t>
    <rPh sb="3" eb="5">
      <t>ザヒョウ</t>
    </rPh>
    <phoneticPr fontId="1"/>
  </si>
  <si>
    <t>L-幅員</t>
    <rPh sb="2" eb="4">
      <t>フク</t>
    </rPh>
    <phoneticPr fontId="1"/>
  </si>
  <si>
    <t>R-幅員</t>
    <rPh sb="2" eb="4">
      <t>フクイ</t>
    </rPh>
    <phoneticPr fontId="1"/>
  </si>
  <si>
    <t>L1-1</t>
    <phoneticPr fontId="1"/>
  </si>
  <si>
    <t>L1-2</t>
    <phoneticPr fontId="1"/>
  </si>
  <si>
    <t>R1-1</t>
    <phoneticPr fontId="1"/>
  </si>
  <si>
    <t>R1-2</t>
    <phoneticPr fontId="1"/>
  </si>
  <si>
    <t>L-15</t>
  </si>
  <si>
    <t>L-16</t>
  </si>
  <si>
    <t>図面番号</t>
    <rPh sb="0" eb="4">
      <t>ズメn</t>
    </rPh>
    <phoneticPr fontId="1"/>
  </si>
  <si>
    <t>14-2</t>
    <phoneticPr fontId="1"/>
  </si>
  <si>
    <t>14-3</t>
    <phoneticPr fontId="1"/>
  </si>
  <si>
    <t>14-1</t>
  </si>
  <si>
    <t>14-1</t>
    <phoneticPr fontId="1"/>
  </si>
  <si>
    <t>L-17</t>
  </si>
  <si>
    <t>L-18</t>
  </si>
  <si>
    <t>L-19</t>
  </si>
  <si>
    <t>L-20</t>
  </si>
  <si>
    <t>L-21</t>
  </si>
  <si>
    <t>L-22</t>
  </si>
  <si>
    <t>L-23</t>
  </si>
  <si>
    <t>L-24</t>
  </si>
  <si>
    <t>L-25</t>
  </si>
  <si>
    <t>L-26</t>
  </si>
  <si>
    <t>L-27</t>
  </si>
  <si>
    <t>L-28</t>
  </si>
  <si>
    <t>L-29</t>
  </si>
  <si>
    <t>R-2</t>
    <phoneticPr fontId="1"/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</si>
  <si>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</si>
  <si>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</si>
  <si>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</si>
  <si>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</si>
  <si>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</si>
  <si>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</si>
  <si>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</si>
  <si>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</si>
  <si>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</si>
  <si>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</si>
  <si>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</si>
  <si>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</si>
  <si>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</si>
  <si>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</si>
  <si>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</si>
  <si>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L-2</t>
  </si>
  <si>
    <t>R-1</t>
  </si>
  <si>
    <t>14-4</t>
  </si>
  <si>
    <t>14-4</t>
    <phoneticPr fontId="1"/>
  </si>
  <si>
    <t>L-1</t>
  </si>
  <si>
    <t>14-5</t>
    <phoneticPr fontId="1"/>
  </si>
  <si>
    <t>R-22</t>
    <phoneticPr fontId="1"/>
  </si>
  <si>
    <t>14-6</t>
    <phoneticPr fontId="1"/>
  </si>
  <si>
    <t>L-備考</t>
    <rPh sb="2" eb="4">
      <t>ビコウ</t>
    </rPh>
    <phoneticPr fontId="1"/>
  </si>
  <si>
    <t>R-備考</t>
    <rPh sb="2" eb="4">
      <t>ビコウ</t>
    </rPh>
    <phoneticPr fontId="1"/>
  </si>
  <si>
    <t>R-8</t>
    <phoneticPr fontId="1"/>
  </si>
  <si>
    <t>L-11座標欠損</t>
    <rPh sb="4" eb="6">
      <t>ザヒョウ</t>
    </rPh>
    <rPh sb="6" eb="8">
      <t>ケッソn</t>
    </rPh>
    <phoneticPr fontId="1"/>
  </si>
  <si>
    <t>R-10, R-1(14-7), R-2(14-7)座標欠損</t>
    <rPh sb="26" eb="28">
      <t>ザヒョウ</t>
    </rPh>
    <rPh sb="28" eb="30">
      <t>ケッソn</t>
    </rPh>
    <phoneticPr fontId="1"/>
  </si>
  <si>
    <t>R-30</t>
  </si>
  <si>
    <t>R-31</t>
  </si>
  <si>
    <t>14-7</t>
    <phoneticPr fontId="1"/>
  </si>
  <si>
    <t>R-1, R-2, R-4〜R-11座標欠損</t>
    <rPh sb="18" eb="22">
      <t>ザヒョウ</t>
    </rPh>
    <phoneticPr fontId="1"/>
  </si>
  <si>
    <t>R-4〜R-11座標欠損</t>
    <rPh sb="8" eb="12">
      <t>ザヒョウケス</t>
    </rPh>
    <phoneticPr fontId="1"/>
  </si>
  <si>
    <t>L-8〜L-11座標欠損</t>
    <rPh sb="8" eb="12">
      <t>ザヒョウ</t>
    </rPh>
    <phoneticPr fontId="1"/>
  </si>
  <si>
    <t>14-8</t>
    <phoneticPr fontId="1"/>
  </si>
  <si>
    <t>14-9</t>
  </si>
  <si>
    <t>14-9</t>
    <phoneticPr fontId="1"/>
  </si>
  <si>
    <t>14-10</t>
    <phoneticPr fontId="1"/>
  </si>
  <si>
    <t>14-11</t>
    <phoneticPr fontId="1"/>
  </si>
  <si>
    <t>L-7座標欠損</t>
    <rPh sb="3" eb="7">
      <t>ザヒョウ</t>
    </rPh>
    <phoneticPr fontId="1"/>
  </si>
  <si>
    <t>14-12</t>
    <phoneticPr fontId="1"/>
  </si>
  <si>
    <t>L-19-1</t>
  </si>
  <si>
    <t>R-6-1</t>
  </si>
  <si>
    <t>R-10-1</t>
  </si>
  <si>
    <t>R-11</t>
    <phoneticPr fontId="1"/>
  </si>
  <si>
    <t>L-31</t>
  </si>
  <si>
    <t>L-32</t>
  </si>
  <si>
    <t>L-35</t>
  </si>
  <si>
    <t>L-36</t>
  </si>
  <si>
    <t>L-37</t>
  </si>
  <si>
    <t>L-38</t>
  </si>
  <si>
    <t>L-39</t>
  </si>
  <si>
    <t>L-41</t>
  </si>
  <si>
    <t>L-42</t>
  </si>
  <si>
    <t>R-32</t>
  </si>
  <si>
    <t>R-33</t>
  </si>
  <si>
    <t>R-35</t>
  </si>
  <si>
    <t>R-36</t>
  </si>
  <si>
    <t>R-37</t>
  </si>
  <si>
    <t>R-38</t>
  </si>
  <si>
    <t>R-39</t>
  </si>
  <si>
    <t>R-40</t>
  </si>
  <si>
    <t>R-41</t>
  </si>
  <si>
    <t>L-43</t>
  </si>
  <si>
    <t>L-44</t>
  </si>
  <si>
    <t>L-45</t>
  </si>
  <si>
    <t>L-46</t>
  </si>
  <si>
    <t>L-47</t>
  </si>
  <si>
    <t>R-42</t>
  </si>
  <si>
    <t>R-43</t>
  </si>
  <si>
    <t>R-44</t>
  </si>
  <si>
    <t>R-45</t>
  </si>
  <si>
    <t>R-46</t>
  </si>
  <si>
    <t>R-47</t>
  </si>
  <si>
    <t>R-48</t>
  </si>
  <si>
    <t>R-49</t>
  </si>
  <si>
    <t>R-51</t>
  </si>
  <si>
    <t>R-53</t>
  </si>
  <si>
    <t>R-54</t>
  </si>
  <si>
    <t>L-48</t>
  </si>
  <si>
    <t>R-55</t>
  </si>
  <si>
    <t>L-49</t>
  </si>
  <si>
    <t>R-56</t>
  </si>
  <si>
    <t>L-50</t>
  </si>
  <si>
    <t>L-51</t>
  </si>
  <si>
    <t>L.52</t>
  </si>
  <si>
    <t>L-53</t>
  </si>
  <si>
    <t>L-30</t>
  </si>
  <si>
    <t>L-33</t>
  </si>
  <si>
    <t>L-34</t>
  </si>
  <si>
    <t>R-34</t>
  </si>
  <si>
    <t>L-40</t>
  </si>
  <si>
    <t>R-50</t>
  </si>
  <si>
    <t>R-52</t>
  </si>
  <si>
    <t>14-13</t>
    <phoneticPr fontId="1"/>
  </si>
  <si>
    <t>14-14</t>
    <phoneticPr fontId="1"/>
  </si>
  <si>
    <t>幅員不明瞭</t>
    <rPh sb="0" eb="2">
      <t>フクイn</t>
    </rPh>
    <rPh sb="2" eb="5">
      <t>フメイ</t>
    </rPh>
    <phoneticPr fontId="1"/>
  </si>
  <si>
    <t>幅員不明瞭</t>
    <rPh sb="0" eb="1">
      <t>フクイn</t>
    </rPh>
    <rPh sb="2" eb="3">
      <t>フメイ</t>
    </rPh>
    <phoneticPr fontId="1"/>
  </si>
  <si>
    <t>幅員不明瞭</t>
    <rPh sb="0" eb="5">
      <t>フクイn</t>
    </rPh>
    <phoneticPr fontId="1"/>
  </si>
  <si>
    <t>L-13座標欠損</t>
    <rPh sb="4" eb="8">
      <t>ザヒョウ</t>
    </rPh>
    <phoneticPr fontId="1"/>
  </si>
  <si>
    <t>1-1</t>
  </si>
  <si>
    <t>1-1</t>
    <phoneticPr fontId="1"/>
  </si>
  <si>
    <t>駅前広場</t>
    <rPh sb="0" eb="4">
      <t>エキ</t>
    </rPh>
    <phoneticPr fontId="1"/>
  </si>
  <si>
    <t>L- 9</t>
  </si>
  <si>
    <t>一部形状が異なる場合があります</t>
    <rPh sb="0" eb="2">
      <t>イチブケイジジョ</t>
    </rPh>
    <rPh sb="2" eb="4">
      <t>ケイジョウガコト</t>
    </rPh>
    <phoneticPr fontId="1"/>
  </si>
  <si>
    <t>R-17</t>
    <phoneticPr fontId="1"/>
  </si>
  <si>
    <t>外れ値のためL-17除外</t>
    <rPh sb="0" eb="1">
      <t>ハズレティ</t>
    </rPh>
    <rPh sb="10" eb="12">
      <t>ジョガイ</t>
    </rPh>
    <phoneticPr fontId="1"/>
  </si>
  <si>
    <t>L-1座標欠損</t>
    <rPh sb="3" eb="7">
      <t>ザヒョウ</t>
    </rPh>
    <phoneticPr fontId="1"/>
  </si>
  <si>
    <t>L-21座標欠損</t>
    <rPh sb="4" eb="6">
      <t>ザヒョウ</t>
    </rPh>
    <rPh sb="6" eb="8">
      <t>ケッソn</t>
    </rPh>
    <phoneticPr fontId="1"/>
  </si>
  <si>
    <t>R-1〜R-3座標欠損</t>
    <rPh sb="7" eb="11">
      <t>ザヒョウ</t>
    </rPh>
    <phoneticPr fontId="1"/>
  </si>
  <si>
    <t>R-21〜R-22座標欠損</t>
    <rPh sb="9" eb="13">
      <t>ザヒョウ</t>
    </rPh>
    <phoneticPr fontId="1"/>
  </si>
  <si>
    <t>幅員欠損</t>
    <rPh sb="0" eb="4">
      <t>フクイn</t>
    </rPh>
    <phoneticPr fontId="1"/>
  </si>
  <si>
    <t>L-21座標欠損・幅員欠損</t>
    <rPh sb="4" eb="6">
      <t>ザヒョウ</t>
    </rPh>
    <rPh sb="6" eb="8">
      <t>ケッソn</t>
    </rPh>
    <rPh sb="9" eb="13">
      <t>フクイn</t>
    </rPh>
    <phoneticPr fontId="1"/>
  </si>
  <si>
    <t>外れ値のためR-8除外</t>
    <rPh sb="0" eb="1">
      <t>ハズレティ</t>
    </rPh>
    <rPh sb="9" eb="11">
      <t>ジョガイ</t>
    </rPh>
    <phoneticPr fontId="1"/>
  </si>
  <si>
    <t>L- 4</t>
  </si>
  <si>
    <t>L-1I</t>
  </si>
  <si>
    <t>1-2</t>
    <phoneticPr fontId="1"/>
  </si>
  <si>
    <t>-113.208.516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</si>
</sst>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_ "/>
  </numFmts>
  <fonts count="4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49" fontId="2" fillId="0" borderId="0" xfId="0" applyNumberFormat="1" applyFont="1"/>
    <xf numFmtId="176" fontId="2" fillId="0" borderId="0" xfId="0" applyNumberFormat="1" applyFont="1"/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11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A8FE-8008-894E-880E-63C9CAAC4642}">
  <dimension ref="A1:L331"/>
  <sheetViews>
    <sheetView topLeftCell="A196" zoomScale="125" workbookViewId="0">
      <selection activeCell="B317" sqref="B1:B1048576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46</v>
      </c>
      <c r="B2" s="1" t="s">
        <v>27</v>
      </c>
      <c r="C2" s="3">
        <v>-31212.204000000002</v>
      </c>
      <c r="D2" s="3">
        <v>-16692.785</v>
      </c>
      <c r="E2" s="3">
        <v>10.91</v>
      </c>
      <c r="H2" s="1" t="s">
        <v>13</v>
      </c>
      <c r="I2" s="3">
        <v>-31192.15</v>
      </c>
      <c r="J2" s="3">
        <v>-16701.397000000001</v>
      </c>
      <c r="K2" s="3">
        <v>10.91</v>
      </c>
    </row>
    <row r="3" spans="1:12">
      <c r="A3" s="2" t="s">
        <v>46</v>
      </c>
      <c r="B3" s="1" t="s">
        <v>26</v>
      </c>
      <c r="C3" s="3">
        <v>-31227.960999999999</v>
      </c>
      <c r="D3" s="3">
        <v>-16729.485000000001</v>
      </c>
      <c r="E3" s="3">
        <v>10.91</v>
      </c>
      <c r="H3" s="1" t="s">
        <v>60</v>
      </c>
      <c r="I3" s="3">
        <v>-31206.482</v>
      </c>
      <c r="J3" s="3">
        <v>-16734.760999999999</v>
      </c>
      <c r="K3" s="3">
        <v>10.91</v>
      </c>
    </row>
    <row r="4" spans="1:12">
      <c r="A4" s="2" t="s">
        <v>46</v>
      </c>
      <c r="B4" s="1" t="s">
        <v>25</v>
      </c>
      <c r="C4" s="3">
        <v>-31242.634999999998</v>
      </c>
      <c r="D4" s="3">
        <v>-16763.657999999999</v>
      </c>
      <c r="E4" s="3">
        <v>10.91</v>
      </c>
      <c r="H4" s="1" t="s">
        <v>11</v>
      </c>
      <c r="I4" s="3">
        <v>-31219.471000000001</v>
      </c>
      <c r="J4" s="3">
        <v>-16765.011999999999</v>
      </c>
      <c r="K4" s="3">
        <v>10.91</v>
      </c>
    </row>
    <row r="5" spans="1:12">
      <c r="A5" s="2" t="s">
        <v>46</v>
      </c>
      <c r="B5" s="1" t="s">
        <v>24</v>
      </c>
      <c r="C5" s="3">
        <v>-31255.16</v>
      </c>
      <c r="D5" s="3">
        <v>-16792.830999999998</v>
      </c>
      <c r="E5" s="3">
        <v>10.91</v>
      </c>
      <c r="H5" s="1" t="s">
        <v>10</v>
      </c>
      <c r="I5" s="3">
        <v>-31235.132000000001</v>
      </c>
      <c r="J5" s="3">
        <v>-16801.488000000001</v>
      </c>
      <c r="K5" s="3">
        <v>10.91</v>
      </c>
    </row>
    <row r="6" spans="1:12">
      <c r="A6" s="2" t="s">
        <v>46</v>
      </c>
      <c r="B6" s="1" t="s">
        <v>23</v>
      </c>
      <c r="C6" s="3">
        <v>-31265.203000000001</v>
      </c>
      <c r="D6" s="3">
        <v>-16816.219000000001</v>
      </c>
      <c r="E6" s="3">
        <v>10.91</v>
      </c>
      <c r="H6" s="1" t="s">
        <v>9</v>
      </c>
      <c r="I6" s="3">
        <v>-31245.159</v>
      </c>
      <c r="J6" s="3">
        <v>-16824.839</v>
      </c>
      <c r="K6" s="3">
        <v>10.91</v>
      </c>
    </row>
    <row r="7" spans="1:12">
      <c r="A7" s="2" t="s">
        <v>46</v>
      </c>
      <c r="B7" s="1" t="s">
        <v>22</v>
      </c>
      <c r="C7" s="3">
        <v>-31274.146000000001</v>
      </c>
      <c r="D7" s="3">
        <v>-16837.046999999999</v>
      </c>
      <c r="E7" s="3">
        <v>10.91</v>
      </c>
      <c r="H7" s="1" t="s">
        <v>8</v>
      </c>
      <c r="I7" s="3">
        <v>-31263.668000000001</v>
      </c>
      <c r="J7" s="3">
        <v>-16868.942999999999</v>
      </c>
      <c r="K7" s="3">
        <v>10.91</v>
      </c>
    </row>
    <row r="8" spans="1:12">
      <c r="A8" s="2" t="s">
        <v>46</v>
      </c>
      <c r="B8" s="1" t="s">
        <v>21</v>
      </c>
      <c r="C8" s="3">
        <v>-31295.530999999999</v>
      </c>
      <c r="D8" s="3">
        <v>-16886.857</v>
      </c>
      <c r="E8" s="3">
        <v>10.91</v>
      </c>
      <c r="H8" s="1" t="s">
        <v>7</v>
      </c>
      <c r="I8" s="3">
        <v>-31271.987000000001</v>
      </c>
      <c r="J8" s="3">
        <v>-16887.319</v>
      </c>
      <c r="K8" s="3">
        <v>10.91</v>
      </c>
    </row>
    <row r="9" spans="1:12">
      <c r="A9" s="2" t="s">
        <v>46</v>
      </c>
      <c r="B9" s="1" t="s">
        <v>20</v>
      </c>
      <c r="C9" s="3">
        <v>-31308.212</v>
      </c>
      <c r="D9" s="3">
        <v>-16916.381000000001</v>
      </c>
      <c r="E9" s="3">
        <v>10.91</v>
      </c>
      <c r="H9" s="1" t="s">
        <v>6</v>
      </c>
      <c r="I9" s="3">
        <v>-31288.16</v>
      </c>
      <c r="J9" s="3">
        <v>-16924.981</v>
      </c>
      <c r="K9" s="3">
        <v>10.91</v>
      </c>
    </row>
    <row r="10" spans="1:12">
      <c r="A10" s="2" t="s">
        <v>46</v>
      </c>
      <c r="B10" s="1" t="s">
        <v>19</v>
      </c>
      <c r="C10" s="3">
        <v>-31315.383999999998</v>
      </c>
      <c r="D10" s="3">
        <v>-16933.089</v>
      </c>
      <c r="E10" s="3">
        <v>10.91</v>
      </c>
      <c r="H10" s="1" t="s">
        <v>5</v>
      </c>
      <c r="I10" s="3">
        <v>-31295.332999999999</v>
      </c>
      <c r="J10" s="3">
        <v>-16941.688999999998</v>
      </c>
      <c r="K10" s="3">
        <v>10.91</v>
      </c>
    </row>
    <row r="11" spans="1:12">
      <c r="A11" s="2" t="s">
        <v>46</v>
      </c>
      <c r="B11" s="1" t="s">
        <v>18</v>
      </c>
      <c r="C11" s="3">
        <v>-31329.708999999999</v>
      </c>
      <c r="D11" s="3">
        <v>-16966.458999999999</v>
      </c>
      <c r="E11" s="3">
        <v>10.91</v>
      </c>
      <c r="H11" s="1" t="s">
        <v>4</v>
      </c>
      <c r="I11" s="3">
        <v>-31309.064999999999</v>
      </c>
      <c r="J11" s="3">
        <v>-16973.68</v>
      </c>
      <c r="K11" s="3">
        <v>10.91</v>
      </c>
    </row>
    <row r="12" spans="1:12">
      <c r="A12" s="2" t="s">
        <v>46</v>
      </c>
      <c r="B12" s="1" t="s">
        <v>17</v>
      </c>
      <c r="C12" s="3">
        <v>-31346.227999999999</v>
      </c>
      <c r="D12" s="3">
        <v>-17004.937999999998</v>
      </c>
      <c r="E12" s="3">
        <v>10.91</v>
      </c>
      <c r="H12" s="1" t="s">
        <v>3</v>
      </c>
      <c r="I12" s="3">
        <v>-31322.794999999998</v>
      </c>
      <c r="J12" s="3">
        <v>-17005.644</v>
      </c>
      <c r="K12" s="3">
        <v>10.91</v>
      </c>
    </row>
    <row r="13" spans="1:12">
      <c r="A13" s="2" t="s">
        <v>46</v>
      </c>
      <c r="B13" s="1" t="s">
        <v>16</v>
      </c>
      <c r="C13" s="3">
        <v>-31358.361000000001</v>
      </c>
      <c r="D13" s="3">
        <v>-17033.201000000001</v>
      </c>
      <c r="E13" s="3">
        <v>10.91</v>
      </c>
      <c r="H13" s="1" t="s">
        <v>2</v>
      </c>
      <c r="I13" s="3">
        <v>-31338.308000000001</v>
      </c>
      <c r="J13" s="3">
        <v>-17041.797999999999</v>
      </c>
      <c r="K13" s="3">
        <v>10.91</v>
      </c>
    </row>
    <row r="14" spans="1:12">
      <c r="A14" s="2" t="s">
        <v>46</v>
      </c>
      <c r="B14" s="1" t="s">
        <v>15</v>
      </c>
      <c r="C14" s="3">
        <v>-31365.532999999999</v>
      </c>
      <c r="D14" s="3">
        <v>-17049.907999999999</v>
      </c>
      <c r="E14" s="3">
        <v>10.91</v>
      </c>
      <c r="H14" s="1" t="s">
        <v>1</v>
      </c>
      <c r="I14" s="3">
        <v>-31345.48</v>
      </c>
      <c r="J14" s="3">
        <v>-17058.506000000001</v>
      </c>
      <c r="K14" s="3">
        <v>10.91</v>
      </c>
    </row>
    <row r="15" spans="1:12">
      <c r="A15" s="2" t="s">
        <v>46</v>
      </c>
      <c r="B15" s="1" t="s">
        <v>14</v>
      </c>
      <c r="C15" s="3">
        <v>-31379.834999999999</v>
      </c>
      <c r="D15" s="3">
        <v>-17083.217000000001</v>
      </c>
      <c r="E15" s="3">
        <v>10.91</v>
      </c>
      <c r="H15" s="1" t="s">
        <v>0</v>
      </c>
      <c r="I15" s="3">
        <v>-31359.587</v>
      </c>
      <c r="J15" s="3">
        <v>-17091.362000000001</v>
      </c>
      <c r="K15" s="3">
        <v>10.91</v>
      </c>
    </row>
    <row r="16" spans="1:12">
      <c r="A16" s="2" t="s">
        <v>46</v>
      </c>
      <c r="B16" s="1" t="s">
        <v>40</v>
      </c>
      <c r="C16" s="3">
        <v>-31392.853999999999</v>
      </c>
      <c r="D16" s="3">
        <v>-17113.54</v>
      </c>
      <c r="E16" s="3">
        <v>10.91</v>
      </c>
      <c r="H16" s="1" t="s">
        <v>61</v>
      </c>
      <c r="I16" s="3">
        <v>-31374.09</v>
      </c>
      <c r="J16" s="3">
        <v>-17125.14</v>
      </c>
      <c r="K16" s="3">
        <v>10.91</v>
      </c>
    </row>
    <row r="17" spans="1:11">
      <c r="A17" s="2" t="s">
        <v>46</v>
      </c>
      <c r="B17" s="1" t="s">
        <v>41</v>
      </c>
      <c r="C17" s="3">
        <v>-31408.44</v>
      </c>
      <c r="D17" s="3">
        <v>-17149.838</v>
      </c>
      <c r="E17" s="3">
        <v>10.91</v>
      </c>
      <c r="H17" s="1" t="s">
        <v>62</v>
      </c>
      <c r="I17" s="3">
        <v>-31388.395</v>
      </c>
      <c r="J17" s="3">
        <v>-17158.456999999999</v>
      </c>
      <c r="K17" s="3">
        <v>10.91</v>
      </c>
    </row>
    <row r="18" spans="1:11">
      <c r="A18" s="2" t="s">
        <v>46</v>
      </c>
      <c r="B18" s="1" t="s">
        <v>47</v>
      </c>
      <c r="C18" s="3">
        <v>-31415.611000000001</v>
      </c>
      <c r="D18" s="3">
        <v>-17166.545999999998</v>
      </c>
      <c r="E18" s="3">
        <v>10.91</v>
      </c>
      <c r="H18" s="1" t="s">
        <v>63</v>
      </c>
      <c r="I18" s="3">
        <v>-31395.566999999999</v>
      </c>
      <c r="J18" s="3">
        <v>-17175.165000000001</v>
      </c>
      <c r="K18" s="3">
        <v>10.91</v>
      </c>
    </row>
    <row r="19" spans="1:11">
      <c r="A19" s="2" t="s">
        <v>46</v>
      </c>
      <c r="B19" s="1" t="s">
        <v>48</v>
      </c>
      <c r="C19" s="3">
        <v>-31438.03</v>
      </c>
      <c r="D19" s="3">
        <v>-17218.925999999999</v>
      </c>
      <c r="E19" s="3">
        <v>10.91</v>
      </c>
      <c r="H19" s="1" t="s">
        <v>64</v>
      </c>
      <c r="I19" s="3">
        <v>-31418.044999999998</v>
      </c>
      <c r="J19" s="3">
        <v>-17227.545999999998</v>
      </c>
      <c r="K19" s="3">
        <v>10.91</v>
      </c>
    </row>
    <row r="20" spans="1:11">
      <c r="A20" s="2" t="s">
        <v>46</v>
      </c>
      <c r="B20" s="1" t="s">
        <v>49</v>
      </c>
      <c r="C20" s="3">
        <v>-31458.596000000001</v>
      </c>
      <c r="D20" s="3">
        <v>-17266.712</v>
      </c>
      <c r="E20" s="3">
        <v>10.91</v>
      </c>
      <c r="H20" s="1" t="s">
        <v>65</v>
      </c>
      <c r="I20" s="3">
        <v>-31438.546999999999</v>
      </c>
      <c r="J20" s="3">
        <v>-17275.321</v>
      </c>
      <c r="K20" s="3">
        <v>10.91</v>
      </c>
    </row>
    <row r="21" spans="1:11">
      <c r="A21" s="2" t="s">
        <v>46</v>
      </c>
      <c r="B21" s="1" t="s">
        <v>50</v>
      </c>
      <c r="C21" s="3">
        <v>-31465.768</v>
      </c>
      <c r="D21" s="3">
        <v>-17283.419999999998</v>
      </c>
      <c r="E21" s="3">
        <v>10.91</v>
      </c>
      <c r="H21" s="1" t="s">
        <v>66</v>
      </c>
      <c r="I21" s="3">
        <v>-31445.72</v>
      </c>
      <c r="J21" s="3">
        <v>-17292.028999999999</v>
      </c>
      <c r="K21" s="3">
        <v>10.91</v>
      </c>
    </row>
    <row r="22" spans="1:11">
      <c r="A22" s="2" t="s">
        <v>46</v>
      </c>
      <c r="B22" s="1" t="s">
        <v>51</v>
      </c>
      <c r="C22" s="3">
        <v>-31488.260999999999</v>
      </c>
      <c r="D22" s="3">
        <v>-17335.794000000002</v>
      </c>
      <c r="E22" s="3">
        <v>10.91</v>
      </c>
      <c r="H22" s="1" t="s">
        <v>67</v>
      </c>
      <c r="I22" s="3">
        <v>-31466.633999999998</v>
      </c>
      <c r="J22" s="3">
        <v>-17340.727999999999</v>
      </c>
      <c r="K22" s="3">
        <v>10.91</v>
      </c>
    </row>
    <row r="23" spans="1:11">
      <c r="A23" s="2" t="s">
        <v>46</v>
      </c>
      <c r="B23" s="1" t="s">
        <v>52</v>
      </c>
      <c r="C23" s="3">
        <v>-31508.835999999999</v>
      </c>
      <c r="D23" s="3">
        <v>-17383.703000000001</v>
      </c>
      <c r="E23" s="3">
        <v>10.91</v>
      </c>
      <c r="H23" s="1" t="s">
        <v>68</v>
      </c>
      <c r="I23" s="3">
        <v>-31488.784</v>
      </c>
      <c r="J23" s="3">
        <v>-17392.303</v>
      </c>
      <c r="K23" s="3">
        <v>10.91</v>
      </c>
    </row>
    <row r="24" spans="1:11">
      <c r="A24" s="2" t="s">
        <v>46</v>
      </c>
      <c r="B24" s="1" t="s">
        <v>53</v>
      </c>
      <c r="C24" s="3">
        <v>-31516.011999999999</v>
      </c>
      <c r="D24" s="3">
        <v>-17400.407999999999</v>
      </c>
      <c r="E24" s="3">
        <v>10.91</v>
      </c>
      <c r="H24" s="1" t="s">
        <v>69</v>
      </c>
      <c r="I24" s="3">
        <v>-31495.958999999999</v>
      </c>
      <c r="J24" s="3">
        <v>-17409.008000000002</v>
      </c>
      <c r="K24" s="3">
        <v>10.91</v>
      </c>
    </row>
    <row r="25" spans="1:11">
      <c r="A25" s="2" t="s">
        <v>46</v>
      </c>
      <c r="B25" s="1" t="s">
        <v>54</v>
      </c>
      <c r="C25" s="3">
        <v>-31535.748</v>
      </c>
      <c r="D25" s="3">
        <v>-17446.348000000002</v>
      </c>
      <c r="E25" s="3">
        <v>10.91</v>
      </c>
      <c r="H25" s="1" t="s">
        <v>70</v>
      </c>
      <c r="I25" s="3">
        <v>-31518.458999999999</v>
      </c>
      <c r="J25" s="3">
        <v>-17461.379000000001</v>
      </c>
      <c r="K25" s="3">
        <v>10.91</v>
      </c>
    </row>
    <row r="26" spans="1:11">
      <c r="A26" s="2" t="s">
        <v>46</v>
      </c>
      <c r="B26" s="1" t="s">
        <v>55</v>
      </c>
      <c r="C26" s="3">
        <v>-31559.028999999999</v>
      </c>
      <c r="D26" s="3">
        <v>-17500.539000000001</v>
      </c>
      <c r="E26" s="3">
        <v>10.91</v>
      </c>
      <c r="H26" s="1" t="s">
        <v>71</v>
      </c>
      <c r="I26" s="3">
        <v>-31538.976999999999</v>
      </c>
      <c r="J26" s="3">
        <v>-17509.138999999999</v>
      </c>
      <c r="K26" s="3">
        <v>10.91</v>
      </c>
    </row>
    <row r="27" spans="1:11">
      <c r="A27" s="2" t="s">
        <v>46</v>
      </c>
      <c r="B27" s="1" t="s">
        <v>56</v>
      </c>
      <c r="C27" s="3">
        <v>-31566.212</v>
      </c>
      <c r="D27" s="3">
        <v>-17517.241999999998</v>
      </c>
      <c r="E27" s="3">
        <v>10.91</v>
      </c>
      <c r="H27" s="1" t="s">
        <v>72</v>
      </c>
      <c r="I27" s="3">
        <v>-31546.16</v>
      </c>
      <c r="J27" s="3">
        <v>-17525.841</v>
      </c>
      <c r="K27" s="3">
        <v>10.91</v>
      </c>
    </row>
    <row r="28" spans="1:11">
      <c r="A28" s="2" t="s">
        <v>46</v>
      </c>
      <c r="B28" s="1" t="s">
        <v>57</v>
      </c>
      <c r="C28" s="3">
        <v>-31585.985000000001</v>
      </c>
      <c r="D28" s="3">
        <v>-17563.166000000001</v>
      </c>
      <c r="E28" s="3">
        <v>10.91</v>
      </c>
      <c r="H28" s="1" t="s">
        <v>73</v>
      </c>
      <c r="I28" s="3">
        <v>-31565.932000000001</v>
      </c>
      <c r="J28" s="3">
        <v>-17571.764999999999</v>
      </c>
      <c r="K28" s="3">
        <v>10.91</v>
      </c>
    </row>
    <row r="29" spans="1:11">
      <c r="A29" s="2" t="s">
        <v>46</v>
      </c>
      <c r="B29" s="1" t="s">
        <v>58</v>
      </c>
      <c r="C29" s="3">
        <v>-31603.346000000001</v>
      </c>
      <c r="D29" s="3">
        <v>-17603.489000000001</v>
      </c>
      <c r="E29" s="3">
        <v>10.91</v>
      </c>
      <c r="H29" s="1" t="s">
        <v>74</v>
      </c>
      <c r="I29" s="3">
        <v>-31583.319</v>
      </c>
      <c r="J29" s="3">
        <v>-17612.149000000001</v>
      </c>
      <c r="K29" s="3">
        <v>10.91</v>
      </c>
    </row>
    <row r="30" spans="1:11">
      <c r="A30" s="2" t="s">
        <v>45</v>
      </c>
      <c r="B30" s="1" t="s">
        <v>59</v>
      </c>
      <c r="C30" s="3">
        <v>-31605.847000000002</v>
      </c>
      <c r="D30" s="3">
        <v>-17602.406999999999</v>
      </c>
      <c r="E30" s="3">
        <v>13.63</v>
      </c>
      <c r="H30" s="1" t="s">
        <v>75</v>
      </c>
      <c r="I30" s="3">
        <v>-31580.813999999998</v>
      </c>
      <c r="J30" s="3">
        <v>-17613.232</v>
      </c>
      <c r="K30" s="3">
        <v>13.63</v>
      </c>
    </row>
    <row r="32" spans="1:11">
      <c r="A32" s="2" t="s">
        <v>43</v>
      </c>
      <c r="B32" s="1" t="s">
        <v>36</v>
      </c>
      <c r="C32" s="3">
        <v>-31603.346000000001</v>
      </c>
      <c r="D32" s="3">
        <v>-17603.489000000001</v>
      </c>
      <c r="E32" s="3">
        <v>10.91</v>
      </c>
      <c r="H32" s="1" t="s">
        <v>38</v>
      </c>
      <c r="I32" s="3">
        <v>-31583.319</v>
      </c>
      <c r="J32" s="3">
        <v>-17612.149000000001</v>
      </c>
      <c r="K32" s="3">
        <v>10.91</v>
      </c>
    </row>
    <row r="33" spans="1:11">
      <c r="A33" s="2" t="s">
        <v>43</v>
      </c>
      <c r="B33" s="1" t="s">
        <v>37</v>
      </c>
      <c r="C33" s="3">
        <v>-31605.847000000002</v>
      </c>
      <c r="D33" s="3">
        <v>-17602.406999999999</v>
      </c>
      <c r="E33" s="3">
        <v>13.64</v>
      </c>
      <c r="H33" s="1" t="s">
        <v>39</v>
      </c>
      <c r="I33" s="3">
        <v>-31580.813999999998</v>
      </c>
      <c r="J33" s="3">
        <v>-17613.232</v>
      </c>
      <c r="K33" s="3">
        <v>13.64</v>
      </c>
    </row>
    <row r="34" spans="1:11">
      <c r="A34" s="2" t="s">
        <v>43</v>
      </c>
      <c r="B34" s="1" t="s">
        <v>27</v>
      </c>
      <c r="C34" s="3">
        <v>-31622.999</v>
      </c>
      <c r="D34" s="3">
        <v>-17642.376</v>
      </c>
      <c r="E34" s="3">
        <v>13.64</v>
      </c>
      <c r="H34" s="1" t="s">
        <v>13</v>
      </c>
      <c r="I34" s="3">
        <v>-31608.187999999998</v>
      </c>
      <c r="J34" s="3">
        <v>-17677.016</v>
      </c>
      <c r="K34" s="3">
        <v>13.64</v>
      </c>
    </row>
    <row r="35" spans="1:11">
      <c r="A35" s="2" t="s">
        <v>43</v>
      </c>
      <c r="B35" s="1" t="s">
        <v>26</v>
      </c>
      <c r="C35" s="3">
        <v>-31663.208999999999</v>
      </c>
      <c r="D35" s="3">
        <v>-17736.114000000001</v>
      </c>
      <c r="E35" s="3">
        <v>13.64</v>
      </c>
      <c r="H35" s="1" t="s">
        <v>12</v>
      </c>
      <c r="I35" s="3">
        <v>-31635.778999999999</v>
      </c>
      <c r="J35" s="3">
        <v>-17741.355</v>
      </c>
      <c r="K35" s="3">
        <v>13.64</v>
      </c>
    </row>
    <row r="36" spans="1:11">
      <c r="A36" s="2" t="s">
        <v>43</v>
      </c>
      <c r="B36" s="1" t="s">
        <v>25</v>
      </c>
      <c r="C36" s="3">
        <v>-31688.829000000002</v>
      </c>
      <c r="D36" s="3">
        <v>-17795.852999999999</v>
      </c>
      <c r="E36" s="3">
        <v>13.64</v>
      </c>
      <c r="H36" s="1" t="s">
        <v>11</v>
      </c>
      <c r="I36" s="3">
        <v>-31665.739000000001</v>
      </c>
      <c r="J36" s="3">
        <v>-17811.192999999999</v>
      </c>
      <c r="K36" s="3">
        <v>13.64</v>
      </c>
    </row>
    <row r="37" spans="1:11">
      <c r="A37" s="2" t="s">
        <v>43</v>
      </c>
      <c r="B37" s="1" t="s">
        <v>24</v>
      </c>
      <c r="C37" s="3">
        <v>-31712.478999999999</v>
      </c>
      <c r="D37" s="3">
        <v>-17850.992999999999</v>
      </c>
      <c r="E37" s="3">
        <v>13.64</v>
      </c>
      <c r="H37" s="1" t="s">
        <v>10</v>
      </c>
      <c r="I37" s="3">
        <v>-31687.419000000002</v>
      </c>
      <c r="J37" s="3">
        <v>-17861.742999999999</v>
      </c>
      <c r="K37" s="3">
        <v>13.64</v>
      </c>
    </row>
    <row r="38" spans="1:11">
      <c r="A38" s="2" t="s">
        <v>43</v>
      </c>
      <c r="B38" s="1" t="s">
        <v>23</v>
      </c>
      <c r="C38" s="3">
        <v>-31745.989000000001</v>
      </c>
      <c r="D38" s="3">
        <v>-17929.111000000001</v>
      </c>
      <c r="E38" s="3">
        <v>13.64</v>
      </c>
      <c r="H38" s="1" t="s">
        <v>9</v>
      </c>
      <c r="I38" s="3">
        <v>-31721.319</v>
      </c>
      <c r="J38" s="3">
        <v>-17940.780999999999</v>
      </c>
      <c r="K38" s="3">
        <v>13.64</v>
      </c>
    </row>
    <row r="39" spans="1:11">
      <c r="A39" s="2" t="s">
        <v>43</v>
      </c>
      <c r="B39" s="1" t="s">
        <v>22</v>
      </c>
      <c r="C39" s="3">
        <v>-31773.579000000002</v>
      </c>
      <c r="D39" s="3">
        <v>-17993.439999999999</v>
      </c>
      <c r="E39" s="3">
        <v>13.64</v>
      </c>
      <c r="H39" s="1" t="s">
        <v>8</v>
      </c>
      <c r="I39" s="3">
        <v>-31748.519</v>
      </c>
      <c r="J39" s="3">
        <v>-18004.189999999999</v>
      </c>
      <c r="K39" s="3">
        <v>13.64</v>
      </c>
    </row>
    <row r="40" spans="1:11">
      <c r="A40" s="2" t="s">
        <v>43</v>
      </c>
      <c r="B40" s="1" t="s">
        <v>21</v>
      </c>
      <c r="C40" s="3">
        <v>-31801.569</v>
      </c>
      <c r="D40" s="3">
        <v>-18058.688999999998</v>
      </c>
      <c r="E40" s="3">
        <v>13.64</v>
      </c>
      <c r="H40" s="1" t="s">
        <v>7</v>
      </c>
      <c r="I40" s="3">
        <v>-31776.109</v>
      </c>
      <c r="J40" s="3">
        <v>-18068.519</v>
      </c>
      <c r="K40" s="3">
        <v>13.64</v>
      </c>
    </row>
    <row r="41" spans="1:11">
      <c r="A41" s="2" t="s">
        <v>43</v>
      </c>
      <c r="B41" s="1" t="s">
        <v>20</v>
      </c>
      <c r="C41" s="3">
        <v>-31822.848999999998</v>
      </c>
      <c r="D41" s="3">
        <v>-18108.319</v>
      </c>
      <c r="E41" s="3">
        <v>13.64</v>
      </c>
      <c r="H41" s="1" t="s">
        <v>6</v>
      </c>
      <c r="I41" s="3">
        <v>-31797.789000000001</v>
      </c>
      <c r="J41" s="3">
        <v>-18119.059000000001</v>
      </c>
      <c r="K41" s="3">
        <v>13.64</v>
      </c>
    </row>
    <row r="42" spans="1:11">
      <c r="A42" s="2" t="s">
        <v>43</v>
      </c>
      <c r="B42" s="1" t="s">
        <v>19</v>
      </c>
      <c r="C42" s="3">
        <v>-31852.309000000001</v>
      </c>
      <c r="D42" s="3">
        <v>-18177.316999999999</v>
      </c>
      <c r="E42" s="3">
        <v>13.64</v>
      </c>
      <c r="H42" s="1" t="s">
        <v>5</v>
      </c>
      <c r="I42" s="3">
        <v>-31825.258999999998</v>
      </c>
      <c r="J42" s="3">
        <v>-18183.418000000001</v>
      </c>
      <c r="K42" s="3">
        <v>13.64</v>
      </c>
    </row>
    <row r="43" spans="1:11">
      <c r="A43" s="2" t="s">
        <v>43</v>
      </c>
      <c r="B43" s="1" t="s">
        <v>18</v>
      </c>
      <c r="C43" s="3">
        <v>-31883.699000000001</v>
      </c>
      <c r="D43" s="3">
        <v>-18250.905999999999</v>
      </c>
      <c r="E43" s="3">
        <v>13.64</v>
      </c>
      <c r="H43" s="1" t="s">
        <v>4</v>
      </c>
      <c r="I43" s="3">
        <v>-31858.608</v>
      </c>
      <c r="J43" s="3">
        <v>-18261.606</v>
      </c>
      <c r="K43" s="3">
        <v>13.64</v>
      </c>
    </row>
    <row r="44" spans="1:11">
      <c r="A44" s="2" t="s">
        <v>43</v>
      </c>
      <c r="B44" s="1" t="s">
        <v>17</v>
      </c>
      <c r="C44" s="3">
        <v>-31905.268</v>
      </c>
      <c r="D44" s="3">
        <v>-18301.495999999999</v>
      </c>
      <c r="E44" s="3">
        <v>13.64</v>
      </c>
      <c r="H44" s="1" t="s">
        <v>3</v>
      </c>
      <c r="I44" s="3">
        <v>-31885.288</v>
      </c>
      <c r="J44" s="3">
        <v>-18324.155999999999</v>
      </c>
      <c r="K44" s="3">
        <v>13.64</v>
      </c>
    </row>
    <row r="45" spans="1:11">
      <c r="A45" s="2" t="s">
        <v>43</v>
      </c>
      <c r="B45" s="1" t="s">
        <v>16</v>
      </c>
      <c r="C45" s="3">
        <v>-31938.608</v>
      </c>
      <c r="D45" s="3">
        <v>-18379.695</v>
      </c>
      <c r="E45" s="3">
        <v>13.64</v>
      </c>
      <c r="H45" s="1" t="s">
        <v>2</v>
      </c>
      <c r="I45" s="3">
        <v>-31909.598000000002</v>
      </c>
      <c r="J45" s="3">
        <v>-18381.185000000001</v>
      </c>
      <c r="K45" s="3">
        <v>13.64</v>
      </c>
    </row>
    <row r="46" spans="1:11">
      <c r="A46" s="2" t="s">
        <v>43</v>
      </c>
      <c r="B46" s="1" t="s">
        <v>15</v>
      </c>
      <c r="C46" s="3">
        <v>-31966.038</v>
      </c>
      <c r="D46" s="3">
        <v>-18444.083999999999</v>
      </c>
      <c r="E46" s="3">
        <v>13.64</v>
      </c>
      <c r="H46" s="1" t="s">
        <v>1</v>
      </c>
      <c r="I46" s="3">
        <v>-31940.948</v>
      </c>
      <c r="J46" s="3">
        <v>-18454.774000000001</v>
      </c>
      <c r="K46" s="3">
        <v>13.64</v>
      </c>
    </row>
    <row r="47" spans="1:11">
      <c r="A47" s="2" t="s">
        <v>43</v>
      </c>
      <c r="B47" s="1" t="s">
        <v>14</v>
      </c>
      <c r="C47" s="3">
        <v>-31993.477999999999</v>
      </c>
      <c r="D47" s="3">
        <v>-18508.483</v>
      </c>
      <c r="E47" s="3">
        <v>13.64</v>
      </c>
      <c r="H47" s="1" t="s">
        <v>0</v>
      </c>
      <c r="I47" s="3">
        <v>-31968.387999999999</v>
      </c>
      <c r="J47" s="3">
        <v>-18519.172999999999</v>
      </c>
      <c r="K47" s="3">
        <v>13.64</v>
      </c>
    </row>
    <row r="49" spans="1:11">
      <c r="A49" s="2" t="s">
        <v>44</v>
      </c>
      <c r="B49" s="1" t="s">
        <v>27</v>
      </c>
      <c r="C49" s="3">
        <v>-32047.198</v>
      </c>
      <c r="D49" s="3">
        <v>-18634.831999999999</v>
      </c>
      <c r="E49" s="3">
        <v>13.74</v>
      </c>
      <c r="H49" s="1" t="s">
        <v>13</v>
      </c>
      <c r="I49" s="3">
        <v>-32021.288</v>
      </c>
      <c r="J49" s="3">
        <v>-18643.613000000001</v>
      </c>
      <c r="K49" s="3">
        <v>13.54</v>
      </c>
    </row>
    <row r="50" spans="1:11">
      <c r="A50" s="2" t="s">
        <v>44</v>
      </c>
      <c r="B50" s="1" t="s">
        <v>26</v>
      </c>
      <c r="C50" s="3">
        <v>-32103.137999999999</v>
      </c>
      <c r="D50" s="3">
        <v>-18766.022000000001</v>
      </c>
      <c r="E50" s="3">
        <v>13.62</v>
      </c>
      <c r="H50" s="1" t="s">
        <v>12</v>
      </c>
      <c r="I50" s="3">
        <v>-32058.448</v>
      </c>
      <c r="J50" s="3">
        <v>-18730.741999999998</v>
      </c>
      <c r="K50" s="3">
        <v>13.62</v>
      </c>
    </row>
    <row r="51" spans="1:11">
      <c r="A51" s="2" t="s">
        <v>44</v>
      </c>
      <c r="B51" s="1" t="s">
        <v>25</v>
      </c>
      <c r="C51" s="3">
        <v>-32167.847000000002</v>
      </c>
      <c r="D51" s="3">
        <v>-18917.760999999999</v>
      </c>
      <c r="E51" s="3">
        <v>13.47</v>
      </c>
      <c r="H51" s="1" t="s">
        <v>11</v>
      </c>
      <c r="I51" s="3">
        <v>-32097.668000000001</v>
      </c>
      <c r="J51" s="3">
        <v>-18822.732</v>
      </c>
      <c r="K51" s="3">
        <v>13.7</v>
      </c>
    </row>
    <row r="52" spans="1:11">
      <c r="A52" s="2" t="s">
        <v>44</v>
      </c>
      <c r="B52" s="1" t="s">
        <v>24</v>
      </c>
      <c r="C52" s="3">
        <v>-32189.904999999999</v>
      </c>
      <c r="D52" s="3">
        <v>-18969.267</v>
      </c>
      <c r="E52" s="3">
        <v>13.54</v>
      </c>
      <c r="H52" s="1" t="s">
        <v>10</v>
      </c>
      <c r="I52" s="3">
        <v>-32144.738000000001</v>
      </c>
      <c r="J52" s="3">
        <v>-18933.111000000001</v>
      </c>
      <c r="K52" s="3">
        <v>13.8</v>
      </c>
    </row>
    <row r="53" spans="1:11">
      <c r="A53" s="2" t="s">
        <v>44</v>
      </c>
      <c r="B53" s="1" t="s">
        <v>23</v>
      </c>
      <c r="C53" s="3">
        <v>-32229.293000000001</v>
      </c>
      <c r="D53" s="3">
        <v>-19061.183000000001</v>
      </c>
      <c r="E53" s="3">
        <v>13.632999999999999</v>
      </c>
      <c r="H53" s="1" t="s">
        <v>9</v>
      </c>
      <c r="I53" s="3">
        <v>-32183.33</v>
      </c>
      <c r="J53" s="3">
        <v>-19023.111000000001</v>
      </c>
      <c r="K53" s="3">
        <v>13.695</v>
      </c>
    </row>
    <row r="54" spans="1:11">
      <c r="A54" s="2" t="s">
        <v>44</v>
      </c>
      <c r="B54" s="1" t="s">
        <v>22</v>
      </c>
      <c r="C54" s="3">
        <v>-32261.027999999998</v>
      </c>
      <c r="D54" s="3">
        <v>-19135.242999999999</v>
      </c>
      <c r="E54" s="3">
        <v>13.71</v>
      </c>
      <c r="H54" s="1" t="s">
        <v>8</v>
      </c>
      <c r="I54" s="3">
        <v>-32233.754000000001</v>
      </c>
      <c r="J54" s="3">
        <v>-19140.837</v>
      </c>
      <c r="K54" s="3">
        <v>13.56</v>
      </c>
    </row>
    <row r="55" spans="1:11">
      <c r="A55" s="2" t="s">
        <v>44</v>
      </c>
      <c r="B55" s="1" t="s">
        <v>21</v>
      </c>
      <c r="C55" s="3">
        <v>-32269.652999999998</v>
      </c>
      <c r="D55" s="3">
        <v>-19148.286</v>
      </c>
      <c r="E55" s="3">
        <v>16.591999999999999</v>
      </c>
      <c r="H55" s="1" t="s">
        <v>7</v>
      </c>
      <c r="I55" s="3">
        <v>-32238.485000000001</v>
      </c>
      <c r="J55" s="3">
        <v>-19160.717000000001</v>
      </c>
      <c r="K55" s="3">
        <v>16.959</v>
      </c>
    </row>
    <row r="56" spans="1:11">
      <c r="A56" s="2" t="s">
        <v>44</v>
      </c>
      <c r="B56" s="1" t="s">
        <v>20</v>
      </c>
      <c r="C56" s="3">
        <v>-32278.166000000001</v>
      </c>
      <c r="D56" s="3">
        <v>-19168.493999999999</v>
      </c>
      <c r="E56" s="3">
        <v>16.2</v>
      </c>
      <c r="H56" s="1" t="s">
        <v>6</v>
      </c>
      <c r="I56" s="3">
        <v>-32269.345000000001</v>
      </c>
      <c r="J56" s="3">
        <v>-19234.669999999998</v>
      </c>
      <c r="K56" s="3">
        <v>16.963000000000001</v>
      </c>
    </row>
    <row r="57" spans="1:11">
      <c r="A57" s="2" t="s">
        <v>44</v>
      </c>
      <c r="B57" s="1" t="s">
        <v>19</v>
      </c>
      <c r="C57" s="3">
        <v>-32300.573</v>
      </c>
      <c r="D57" s="3">
        <v>-19221.966</v>
      </c>
      <c r="E57" s="3">
        <v>16.739999999999998</v>
      </c>
      <c r="H57" s="1" t="s">
        <v>5</v>
      </c>
      <c r="I57" s="3">
        <v>-32275.488000000001</v>
      </c>
      <c r="J57" s="3">
        <v>-19238.523000000001</v>
      </c>
      <c r="K57" s="3">
        <v>12.778</v>
      </c>
    </row>
    <row r="58" spans="1:11">
      <c r="A58" s="2" t="s">
        <v>44</v>
      </c>
      <c r="B58" s="1" t="s">
        <v>18</v>
      </c>
      <c r="C58" s="3">
        <v>-32299.237000000001</v>
      </c>
      <c r="D58" s="3">
        <v>-19224.199000000001</v>
      </c>
      <c r="E58" s="3">
        <v>14.465999999999999</v>
      </c>
      <c r="H58" s="1" t="s">
        <v>4</v>
      </c>
      <c r="I58" s="3">
        <v>-32275.488000000001</v>
      </c>
      <c r="J58" s="3">
        <v>-19238.519</v>
      </c>
      <c r="K58" s="3">
        <v>13.63</v>
      </c>
    </row>
    <row r="59" spans="1:11">
      <c r="A59" s="2" t="s">
        <v>44</v>
      </c>
      <c r="B59" s="1" t="s">
        <v>17</v>
      </c>
      <c r="C59" s="3">
        <v>-32299.707999999999</v>
      </c>
      <c r="D59" s="3">
        <v>-19225.789000000001</v>
      </c>
      <c r="E59" s="3">
        <v>17.8</v>
      </c>
      <c r="H59" s="1" t="s">
        <v>3</v>
      </c>
      <c r="I59" s="3">
        <v>-32310.348000000002</v>
      </c>
      <c r="J59" s="3">
        <v>-19320.159</v>
      </c>
      <c r="K59" s="3">
        <v>13.64</v>
      </c>
    </row>
    <row r="60" spans="1:11">
      <c r="A60" s="2" t="s">
        <v>44</v>
      </c>
      <c r="B60" s="1" t="s">
        <v>16</v>
      </c>
      <c r="C60" s="3">
        <v>-32303.547999999999</v>
      </c>
      <c r="D60" s="3">
        <v>-19224.199000000001</v>
      </c>
      <c r="E60" s="3">
        <v>13.64</v>
      </c>
      <c r="H60" s="1" t="s">
        <v>2</v>
      </c>
      <c r="I60" s="3">
        <v>-32307.038</v>
      </c>
      <c r="J60" s="3">
        <v>-19321.559000000001</v>
      </c>
      <c r="K60" s="3">
        <v>17.23</v>
      </c>
    </row>
    <row r="61" spans="1:11">
      <c r="A61" s="2" t="s">
        <v>44</v>
      </c>
      <c r="B61" s="1" t="s">
        <v>15</v>
      </c>
      <c r="C61" s="3">
        <v>-32323.228999999999</v>
      </c>
      <c r="D61" s="3">
        <v>-19270.269</v>
      </c>
      <c r="E61" s="3">
        <v>17.8</v>
      </c>
      <c r="H61" s="1" t="s">
        <v>1</v>
      </c>
      <c r="I61" s="3">
        <v>-32323.789000000001</v>
      </c>
      <c r="J61" s="3">
        <v>-19361.477999999999</v>
      </c>
      <c r="K61" s="3">
        <v>17.5</v>
      </c>
    </row>
    <row r="62" spans="1:11">
      <c r="A62" s="2" t="s">
        <v>44</v>
      </c>
      <c r="B62" s="1" t="s">
        <v>14</v>
      </c>
      <c r="C62" s="3">
        <v>-32345.228999999999</v>
      </c>
      <c r="D62" s="3">
        <v>-19321.808000000001</v>
      </c>
      <c r="E62" s="3">
        <v>17.8</v>
      </c>
      <c r="H62" s="1" t="s">
        <v>0</v>
      </c>
      <c r="I62" s="3">
        <v>-32355.409</v>
      </c>
      <c r="J62" s="3">
        <v>-19430.887999999999</v>
      </c>
      <c r="K62" s="3">
        <v>16.5</v>
      </c>
    </row>
    <row r="63" spans="1:11">
      <c r="A63" s="2" t="s">
        <v>44</v>
      </c>
      <c r="B63" s="1" t="s">
        <v>40</v>
      </c>
      <c r="C63" s="3">
        <v>-32372.708999999999</v>
      </c>
      <c r="D63" s="3">
        <v>-19388.698</v>
      </c>
      <c r="E63" s="3">
        <v>16.8</v>
      </c>
    </row>
    <row r="64" spans="1:11">
      <c r="A64" s="2" t="s">
        <v>44</v>
      </c>
      <c r="B64" s="1" t="s">
        <v>41</v>
      </c>
      <c r="C64" s="3">
        <v>-32392.438999999998</v>
      </c>
      <c r="D64" s="3">
        <v>-19436.437999999998</v>
      </c>
      <c r="E64" s="3">
        <v>16.2</v>
      </c>
    </row>
    <row r="66" spans="1:11">
      <c r="A66" s="2" t="s">
        <v>79</v>
      </c>
      <c r="B66" s="1" t="s">
        <v>27</v>
      </c>
      <c r="C66" s="3">
        <v>-32411.859</v>
      </c>
      <c r="D66" s="3">
        <v>-19482.187999999998</v>
      </c>
      <c r="E66" s="3">
        <v>16.100000000000001</v>
      </c>
      <c r="H66" s="1" t="s">
        <v>13</v>
      </c>
      <c r="I66" s="3">
        <v>-32381.978999999999</v>
      </c>
      <c r="J66" s="3">
        <v>-19494.949000000001</v>
      </c>
      <c r="K66" s="3">
        <v>16.399999999999999</v>
      </c>
    </row>
    <row r="67" spans="1:11">
      <c r="A67" s="2" t="s">
        <v>79</v>
      </c>
      <c r="B67" s="1" t="s">
        <v>26</v>
      </c>
      <c r="C67" s="3">
        <v>-32422.719000000001</v>
      </c>
      <c r="D67" s="3">
        <v>-19505.819</v>
      </c>
      <c r="E67" s="3">
        <v>16.8</v>
      </c>
      <c r="H67" s="1" t="s">
        <v>12</v>
      </c>
      <c r="I67" s="3">
        <v>-32414.428</v>
      </c>
      <c r="J67" s="3">
        <v>-19568.41</v>
      </c>
      <c r="K67" s="3">
        <v>15.4</v>
      </c>
    </row>
    <row r="68" spans="1:11">
      <c r="A68" s="2" t="s">
        <v>79</v>
      </c>
      <c r="B68" s="1" t="s">
        <v>25</v>
      </c>
      <c r="C68" s="3">
        <v>-32439.098999999998</v>
      </c>
      <c r="D68" s="3">
        <v>-19546.999</v>
      </c>
      <c r="E68" s="3">
        <v>15.7</v>
      </c>
      <c r="H68" s="1" t="s">
        <v>11</v>
      </c>
      <c r="I68" s="3">
        <v>-32421.488000000001</v>
      </c>
      <c r="J68" s="3">
        <v>-19592.580000000002</v>
      </c>
      <c r="K68" s="3">
        <v>18.399999999999999</v>
      </c>
    </row>
    <row r="69" spans="1:11">
      <c r="A69" s="2" t="s">
        <v>79</v>
      </c>
      <c r="B69" s="1" t="s">
        <v>24</v>
      </c>
      <c r="C69" s="3">
        <v>-32459.329000000002</v>
      </c>
      <c r="D69" s="3">
        <v>-19593.599999999999</v>
      </c>
      <c r="E69" s="3">
        <v>16</v>
      </c>
      <c r="H69" s="1" t="s">
        <v>10</v>
      </c>
      <c r="I69" s="3">
        <v>-32427.378000000001</v>
      </c>
      <c r="J69" s="3">
        <v>-19606.37</v>
      </c>
      <c r="K69" s="3">
        <v>18.399999999999999</v>
      </c>
    </row>
    <row r="70" spans="1:11">
      <c r="A70" s="2" t="s">
        <v>79</v>
      </c>
      <c r="B70" s="1" t="s">
        <v>23</v>
      </c>
      <c r="C70" s="3">
        <v>-32479.749</v>
      </c>
      <c r="D70" s="3">
        <v>-19643.710999999999</v>
      </c>
      <c r="E70" s="3">
        <v>15.1</v>
      </c>
      <c r="H70" s="1" t="s">
        <v>9</v>
      </c>
      <c r="I70" s="3">
        <v>-32438.078000000001</v>
      </c>
      <c r="J70" s="3">
        <v>-19623.550999999999</v>
      </c>
      <c r="K70" s="3">
        <v>15.3</v>
      </c>
    </row>
    <row r="71" spans="1:11">
      <c r="A71" s="2" t="s">
        <v>79</v>
      </c>
      <c r="B71" s="1" t="s">
        <v>22</v>
      </c>
      <c r="C71" s="3">
        <v>-32484.728999999999</v>
      </c>
      <c r="D71" s="3">
        <v>-19653.451000000001</v>
      </c>
      <c r="E71" s="3">
        <v>15.95</v>
      </c>
      <c r="H71" s="1" t="s">
        <v>8</v>
      </c>
      <c r="I71" s="3">
        <v>-32451.727999999999</v>
      </c>
      <c r="J71" s="3">
        <v>-19655.521000000001</v>
      </c>
      <c r="K71" s="3">
        <v>15.3</v>
      </c>
    </row>
    <row r="72" spans="1:11">
      <c r="A72" s="2" t="s">
        <v>79</v>
      </c>
      <c r="B72" s="1" t="s">
        <v>21</v>
      </c>
      <c r="C72" s="3">
        <v>-32489.609</v>
      </c>
      <c r="D72" s="3">
        <v>-19664.751</v>
      </c>
      <c r="E72" s="3">
        <v>16.100000000000001</v>
      </c>
      <c r="H72" s="1" t="s">
        <v>7</v>
      </c>
      <c r="I72" s="3">
        <v>-32454.227999999999</v>
      </c>
      <c r="J72" s="3">
        <v>-19666.321</v>
      </c>
      <c r="K72" s="3">
        <v>17.149999999999999</v>
      </c>
    </row>
    <row r="73" spans="1:11">
      <c r="A73" s="2" t="s">
        <v>79</v>
      </c>
      <c r="B73" s="1" t="s">
        <v>20</v>
      </c>
      <c r="C73" s="3">
        <v>-32498.788</v>
      </c>
      <c r="D73" s="3">
        <v>-19682.600999999999</v>
      </c>
      <c r="E73" s="3">
        <v>17.7</v>
      </c>
      <c r="H73" s="1" t="s">
        <v>6</v>
      </c>
      <c r="I73" s="3">
        <v>-32474.157999999999</v>
      </c>
      <c r="J73" s="3">
        <v>-19712.382000000001</v>
      </c>
      <c r="K73" s="3">
        <v>16.5</v>
      </c>
    </row>
    <row r="74" spans="1:11">
      <c r="A74" s="2" t="s">
        <v>79</v>
      </c>
      <c r="B74" s="1" t="s">
        <v>19</v>
      </c>
      <c r="C74" s="3">
        <v>-32504.567999999999</v>
      </c>
      <c r="D74" s="3">
        <v>-19696.441999999999</v>
      </c>
      <c r="E74" s="3">
        <v>17.7</v>
      </c>
      <c r="H74" s="1" t="s">
        <v>5</v>
      </c>
      <c r="I74" s="3">
        <v>-32478.008000000002</v>
      </c>
      <c r="J74" s="3">
        <v>-19715.112000000001</v>
      </c>
      <c r="K74" s="3">
        <v>14</v>
      </c>
    </row>
    <row r="75" spans="1:11">
      <c r="A75" s="2" t="s">
        <v>79</v>
      </c>
      <c r="B75" s="1" t="s">
        <v>18</v>
      </c>
      <c r="C75" s="3">
        <v>-32521.858</v>
      </c>
      <c r="D75" s="3">
        <v>-19736.572</v>
      </c>
      <c r="E75" s="3">
        <v>18.21</v>
      </c>
      <c r="H75" s="1" t="s">
        <v>4</v>
      </c>
      <c r="I75" s="3">
        <v>-32489.558000000001</v>
      </c>
      <c r="J75" s="3">
        <v>-19742.793000000001</v>
      </c>
      <c r="K75" s="3">
        <v>14</v>
      </c>
    </row>
    <row r="76" spans="1:11">
      <c r="A76" s="2" t="s">
        <v>79</v>
      </c>
      <c r="B76" s="1" t="s">
        <v>17</v>
      </c>
      <c r="C76" s="3">
        <v>-32532.567999999999</v>
      </c>
      <c r="D76" s="3">
        <v>-19756.273000000001</v>
      </c>
      <c r="E76" s="3">
        <v>20.5</v>
      </c>
      <c r="H76" s="1" t="s">
        <v>3</v>
      </c>
      <c r="I76" s="3">
        <v>-32489.098000000002</v>
      </c>
      <c r="J76" s="3">
        <v>-19749.483</v>
      </c>
      <c r="K76" s="3">
        <v>17</v>
      </c>
    </row>
    <row r="77" spans="1:11">
      <c r="A77" s="2" t="s">
        <v>79</v>
      </c>
      <c r="B77" s="1" t="s">
        <v>16</v>
      </c>
      <c r="C77" s="3">
        <v>-32558.817999999999</v>
      </c>
      <c r="D77" s="3">
        <v>-19818.784</v>
      </c>
      <c r="E77" s="3">
        <v>20.5</v>
      </c>
      <c r="H77" s="1" t="s">
        <v>2</v>
      </c>
      <c r="I77" s="3">
        <v>-32509.848000000002</v>
      </c>
      <c r="J77" s="3">
        <v>-19800.794000000002</v>
      </c>
      <c r="K77" s="3">
        <v>17.62</v>
      </c>
    </row>
    <row r="78" spans="1:11">
      <c r="A78" s="2" t="s">
        <v>79</v>
      </c>
      <c r="B78" s="1" t="s">
        <v>15</v>
      </c>
      <c r="C78" s="3">
        <v>-32556.918000000001</v>
      </c>
      <c r="D78" s="3">
        <v>-19822.394</v>
      </c>
      <c r="E78" s="3">
        <v>17.329999999999998</v>
      </c>
      <c r="H78" s="1" t="s">
        <v>1</v>
      </c>
      <c r="I78" s="3">
        <v>-32532.867999999999</v>
      </c>
      <c r="J78" s="3">
        <v>-19854.935000000001</v>
      </c>
      <c r="K78" s="3">
        <v>17.600000000000001</v>
      </c>
    </row>
    <row r="79" spans="1:11">
      <c r="A79" s="2" t="s">
        <v>79</v>
      </c>
      <c r="B79" s="1" t="s">
        <v>14</v>
      </c>
      <c r="C79" s="3">
        <v>-32582.547999999999</v>
      </c>
      <c r="D79" s="3">
        <v>-19889.235000000001</v>
      </c>
      <c r="E79" s="3">
        <v>14.55</v>
      </c>
      <c r="H79" s="1" t="s">
        <v>0</v>
      </c>
      <c r="I79" s="3">
        <v>-32542.898000000001</v>
      </c>
      <c r="J79" s="3">
        <v>-19877.834999999999</v>
      </c>
      <c r="K79" s="3">
        <v>17.399999999999999</v>
      </c>
    </row>
    <row r="80" spans="1:11">
      <c r="A80" s="2" t="s">
        <v>79</v>
      </c>
      <c r="B80" s="1" t="s">
        <v>40</v>
      </c>
      <c r="C80" s="3">
        <v>-32609.117999999999</v>
      </c>
      <c r="D80" s="3">
        <v>-19951.716</v>
      </c>
      <c r="E80" s="3">
        <v>14.34</v>
      </c>
      <c r="H80" s="1" t="s">
        <v>61</v>
      </c>
      <c r="I80" s="3">
        <v>-32560.258000000002</v>
      </c>
      <c r="J80" s="3">
        <v>-19906.516</v>
      </c>
      <c r="K80" s="3">
        <v>12.75</v>
      </c>
    </row>
    <row r="81" spans="1:11">
      <c r="A81" s="2" t="s">
        <v>78</v>
      </c>
      <c r="B81" s="1" t="s">
        <v>41</v>
      </c>
      <c r="C81" s="3">
        <v>-32611.008000000002</v>
      </c>
      <c r="D81" s="3">
        <v>-19950.905999999999</v>
      </c>
      <c r="E81" s="3">
        <v>16.399999999999999</v>
      </c>
      <c r="H81" s="1" t="s">
        <v>62</v>
      </c>
      <c r="I81" s="3">
        <v>-32584.108</v>
      </c>
      <c r="J81" s="3">
        <v>-19962.616999999998</v>
      </c>
      <c r="K81" s="3">
        <v>12.94</v>
      </c>
    </row>
    <row r="82" spans="1:11">
      <c r="A82" s="2" t="s">
        <v>78</v>
      </c>
      <c r="B82" s="1" t="s">
        <v>47</v>
      </c>
      <c r="C82" s="3">
        <v>-32634.957999999999</v>
      </c>
      <c r="D82" s="3">
        <v>-20007.018</v>
      </c>
      <c r="E82" s="3">
        <v>16.3</v>
      </c>
      <c r="H82" s="1" t="s">
        <v>63</v>
      </c>
      <c r="I82" s="3">
        <v>-32581.407999999999</v>
      </c>
      <c r="J82" s="3">
        <v>-19963.577000000001</v>
      </c>
      <c r="K82" s="3">
        <v>15.8</v>
      </c>
    </row>
    <row r="83" spans="1:11">
      <c r="A83" s="2" t="s">
        <v>78</v>
      </c>
      <c r="B83" s="1" t="s">
        <v>48</v>
      </c>
      <c r="C83" s="3">
        <v>-32650.907999999999</v>
      </c>
      <c r="D83" s="3">
        <v>-20043.698</v>
      </c>
      <c r="E83" s="3">
        <v>16.5</v>
      </c>
      <c r="H83" s="1" t="s">
        <v>64</v>
      </c>
      <c r="I83" s="3">
        <v>-32605.366999999998</v>
      </c>
      <c r="J83" s="3">
        <v>-20019.707999999999</v>
      </c>
      <c r="K83" s="3">
        <v>15.9</v>
      </c>
    </row>
    <row r="84" spans="1:11">
      <c r="A84" s="2" t="s">
        <v>78</v>
      </c>
      <c r="B84" s="1" t="s">
        <v>49</v>
      </c>
      <c r="C84" s="3">
        <v>-32658.867999999999</v>
      </c>
      <c r="D84" s="3">
        <v>-20063.848999999998</v>
      </c>
      <c r="E84" s="3">
        <v>15.87</v>
      </c>
      <c r="H84" s="1" t="s">
        <v>65</v>
      </c>
      <c r="I84" s="3">
        <v>-32625.107</v>
      </c>
      <c r="J84" s="3">
        <v>-20066.989000000001</v>
      </c>
      <c r="K84" s="3">
        <v>16.39</v>
      </c>
    </row>
    <row r="85" spans="1:11">
      <c r="A85" s="2" t="s">
        <v>78</v>
      </c>
      <c r="B85" s="1" t="s">
        <v>50</v>
      </c>
      <c r="C85" s="3">
        <v>-32675.057000000001</v>
      </c>
      <c r="D85" s="3">
        <v>-20088.758999999998</v>
      </c>
      <c r="E85" s="3">
        <v>20.94</v>
      </c>
      <c r="H85" s="1" t="s">
        <v>66</v>
      </c>
      <c r="I85" s="3">
        <v>-32643.767</v>
      </c>
      <c r="J85" s="3">
        <v>-20112.05</v>
      </c>
      <c r="K85" s="3">
        <v>17</v>
      </c>
    </row>
    <row r="86" spans="1:11">
      <c r="A86" s="2" t="s">
        <v>78</v>
      </c>
      <c r="B86" s="1" t="s">
        <v>51</v>
      </c>
      <c r="C86" s="3">
        <v>-32678.987000000001</v>
      </c>
      <c r="D86" s="3">
        <v>-20097.419000000002</v>
      </c>
      <c r="E86" s="3">
        <v>21.13</v>
      </c>
      <c r="H86" s="1" t="s">
        <v>67</v>
      </c>
      <c r="I86" s="3">
        <v>-32667.787</v>
      </c>
      <c r="J86" s="3">
        <v>-20164.951000000001</v>
      </c>
      <c r="K86" s="3">
        <v>15.78</v>
      </c>
    </row>
    <row r="87" spans="1:11">
      <c r="A87" s="2" t="s">
        <v>78</v>
      </c>
      <c r="B87" s="1" t="s">
        <v>52</v>
      </c>
      <c r="C87" s="3">
        <v>-32683.456999999999</v>
      </c>
      <c r="D87" s="3">
        <v>-20121.14</v>
      </c>
      <c r="E87" s="3">
        <v>15.9</v>
      </c>
      <c r="H87" s="1" t="s">
        <v>68</v>
      </c>
      <c r="I87" s="3">
        <v>-32673.517</v>
      </c>
      <c r="J87" s="3">
        <v>-20177.741000000002</v>
      </c>
      <c r="K87" s="3">
        <v>15.53</v>
      </c>
    </row>
    <row r="88" spans="1:11">
      <c r="A88" s="2" t="s">
        <v>78</v>
      </c>
      <c r="B88" s="1" t="s">
        <v>53</v>
      </c>
      <c r="C88" s="3">
        <v>-32696.427</v>
      </c>
      <c r="D88" s="3">
        <v>-20151.381000000001</v>
      </c>
      <c r="E88" s="3">
        <v>15.9</v>
      </c>
      <c r="H88" s="1" t="s">
        <v>69</v>
      </c>
      <c r="I88" s="3">
        <v>-32684.927</v>
      </c>
      <c r="J88" s="3">
        <v>-20203.162</v>
      </c>
      <c r="K88" s="3">
        <v>15</v>
      </c>
    </row>
    <row r="89" spans="1:11">
      <c r="A89" s="2" t="s">
        <v>78</v>
      </c>
      <c r="B89" s="1" t="s">
        <v>54</v>
      </c>
      <c r="C89" s="3">
        <v>-32702.377</v>
      </c>
      <c r="D89" s="3">
        <v>-20165.641</v>
      </c>
      <c r="E89" s="3">
        <v>15.76</v>
      </c>
      <c r="H89" s="1" t="s">
        <v>70</v>
      </c>
      <c r="I89" s="3">
        <v>-32695.427</v>
      </c>
      <c r="J89" s="3">
        <v>-20236.741999999998</v>
      </c>
      <c r="K89" s="3">
        <v>18.5</v>
      </c>
    </row>
    <row r="90" spans="1:11">
      <c r="A90" s="2" t="s">
        <v>78</v>
      </c>
      <c r="B90" s="1" t="s">
        <v>55</v>
      </c>
      <c r="C90" s="3">
        <v>-32732.677</v>
      </c>
      <c r="D90" s="3">
        <v>-20237.171999999999</v>
      </c>
      <c r="E90" s="3">
        <v>15.6</v>
      </c>
      <c r="H90" s="1" t="s">
        <v>71</v>
      </c>
      <c r="I90" s="3">
        <v>-32701.307000000001</v>
      </c>
      <c r="J90" s="3">
        <v>-20250.543000000001</v>
      </c>
      <c r="K90" s="3">
        <v>18.5</v>
      </c>
    </row>
    <row r="91" spans="1:11">
      <c r="A91" s="2" t="s">
        <v>78</v>
      </c>
      <c r="B91" s="1" t="s">
        <v>56</v>
      </c>
      <c r="C91" s="3">
        <v>-32755.386999999999</v>
      </c>
      <c r="D91" s="3">
        <v>-20290.473999999998</v>
      </c>
      <c r="E91" s="3">
        <v>15.6</v>
      </c>
      <c r="H91" s="1" t="s">
        <v>72</v>
      </c>
      <c r="I91" s="3">
        <v>-32711.807000000001</v>
      </c>
      <c r="J91" s="3">
        <v>-20267.803</v>
      </c>
      <c r="K91" s="3">
        <v>15.6</v>
      </c>
    </row>
    <row r="92" spans="1:11">
      <c r="A92" s="2" t="s">
        <v>78</v>
      </c>
      <c r="H92" s="1" t="s">
        <v>73</v>
      </c>
      <c r="I92" s="3">
        <v>-32742.655999999999</v>
      </c>
      <c r="J92" s="3">
        <v>-20342.525000000001</v>
      </c>
      <c r="K92" s="3">
        <v>16.510000000000002</v>
      </c>
    </row>
    <row r="94" spans="1:11">
      <c r="A94" s="2" t="s">
        <v>81</v>
      </c>
      <c r="B94" s="1" t="s">
        <v>27</v>
      </c>
      <c r="C94" s="3">
        <v>-32788.527000000002</v>
      </c>
      <c r="D94" s="3">
        <v>-20366.716</v>
      </c>
      <c r="E94" s="3">
        <v>16.21</v>
      </c>
      <c r="H94" s="1" t="s">
        <v>13</v>
      </c>
      <c r="I94" s="3">
        <v>-32766.425999999999</v>
      </c>
      <c r="J94" s="3">
        <v>-20396.225999999999</v>
      </c>
      <c r="K94" s="3">
        <v>15.7</v>
      </c>
    </row>
    <row r="95" spans="1:11">
      <c r="A95" s="2" t="s">
        <v>81</v>
      </c>
      <c r="B95" s="1" t="s">
        <v>26</v>
      </c>
      <c r="C95" s="3">
        <v>-32811.396000000001</v>
      </c>
      <c r="D95" s="3">
        <v>-20421.177</v>
      </c>
      <c r="E95" s="3">
        <v>15.9</v>
      </c>
      <c r="H95" s="1" t="s">
        <v>12</v>
      </c>
      <c r="I95" s="3">
        <v>-32789.985999999997</v>
      </c>
      <c r="J95" s="3">
        <v>-20452.037</v>
      </c>
      <c r="K95" s="3">
        <v>15.9</v>
      </c>
    </row>
    <row r="96" spans="1:11">
      <c r="A96" s="2" t="s">
        <v>81</v>
      </c>
      <c r="B96" s="1" t="s">
        <v>25</v>
      </c>
      <c r="C96" s="3">
        <v>-32827.995999999999</v>
      </c>
      <c r="D96" s="3">
        <v>-20457.578000000001</v>
      </c>
      <c r="E96" s="3">
        <v>16.899999999999999</v>
      </c>
      <c r="H96" s="1" t="s">
        <v>11</v>
      </c>
      <c r="I96" s="3">
        <v>-32813.866000000002</v>
      </c>
      <c r="J96" s="3">
        <v>-20507.079000000002</v>
      </c>
      <c r="K96" s="3">
        <v>15.5</v>
      </c>
    </row>
    <row r="97" spans="1:11">
      <c r="A97" s="2" t="s">
        <v>81</v>
      </c>
      <c r="B97" s="1" t="s">
        <v>24</v>
      </c>
      <c r="C97" s="3">
        <v>-32842.565999999999</v>
      </c>
      <c r="D97" s="3">
        <v>-20494.089</v>
      </c>
      <c r="E97" s="3">
        <v>15.99</v>
      </c>
      <c r="H97" s="1" t="s">
        <v>10</v>
      </c>
      <c r="I97" s="3">
        <v>-32837.296999999999</v>
      </c>
      <c r="J97" s="3">
        <v>-20562.32</v>
      </c>
      <c r="K97" s="3">
        <v>15.6</v>
      </c>
    </row>
    <row r="98" spans="1:11">
      <c r="A98" s="2" t="s">
        <v>81</v>
      </c>
      <c r="B98" s="1" t="s">
        <v>23</v>
      </c>
      <c r="C98" s="3">
        <v>-32858.987000000001</v>
      </c>
      <c r="D98" s="3">
        <v>-20531.339</v>
      </c>
      <c r="E98" s="3">
        <v>16.579999999999998</v>
      </c>
      <c r="H98" s="1" t="s">
        <v>9</v>
      </c>
      <c r="I98" s="3">
        <v>-32857.156999999999</v>
      </c>
      <c r="J98" s="3">
        <v>-20608.931</v>
      </c>
      <c r="K98" s="3">
        <v>15.6</v>
      </c>
    </row>
    <row r="99" spans="1:11">
      <c r="A99" s="2" t="s">
        <v>81</v>
      </c>
      <c r="B99" s="1" t="s">
        <v>22</v>
      </c>
      <c r="C99" s="3">
        <v>-32882.597000000002</v>
      </c>
      <c r="D99" s="3">
        <v>-20586.501</v>
      </c>
      <c r="E99" s="3">
        <v>16</v>
      </c>
      <c r="H99" s="1" t="s">
        <v>8</v>
      </c>
      <c r="I99" s="3">
        <v>-32864.186999999998</v>
      </c>
      <c r="J99" s="3">
        <v>-20633.330999999998</v>
      </c>
      <c r="K99" s="3">
        <v>18.7</v>
      </c>
    </row>
    <row r="100" spans="1:11">
      <c r="A100" s="2" t="s">
        <v>81</v>
      </c>
      <c r="B100" s="1" t="s">
        <v>21</v>
      </c>
      <c r="C100" s="3">
        <v>-32906.116999999998</v>
      </c>
      <c r="D100" s="3">
        <v>-20641.691999999999</v>
      </c>
      <c r="E100" s="3">
        <v>16.600000000000001</v>
      </c>
      <c r="H100" s="1" t="s">
        <v>7</v>
      </c>
      <c r="I100" s="3">
        <v>-32870.067000000003</v>
      </c>
      <c r="J100" s="3">
        <v>-20647.132000000001</v>
      </c>
      <c r="K100" s="3">
        <v>18.7</v>
      </c>
    </row>
    <row r="101" spans="1:11">
      <c r="A101" s="2" t="s">
        <v>81</v>
      </c>
      <c r="B101" s="1" t="s">
        <v>20</v>
      </c>
      <c r="C101" s="3">
        <v>-32916.116999999998</v>
      </c>
      <c r="D101" s="3">
        <v>-20664.831999999999</v>
      </c>
      <c r="E101" s="3">
        <v>16.73</v>
      </c>
    </row>
    <row r="102" spans="1:11">
      <c r="A102" s="2" t="s">
        <v>81</v>
      </c>
      <c r="B102" s="1" t="s">
        <v>19</v>
      </c>
      <c r="C102" s="3">
        <v>-32920.326999999997</v>
      </c>
      <c r="D102" s="3">
        <v>-20674.882000000001</v>
      </c>
      <c r="E102" s="3">
        <v>16.649999999999999</v>
      </c>
      <c r="H102" s="1" t="s">
        <v>5</v>
      </c>
      <c r="I102" s="3">
        <v>-32889.587</v>
      </c>
      <c r="J102" s="3">
        <v>-20688.023000000001</v>
      </c>
      <c r="K102" s="3">
        <v>16.77</v>
      </c>
    </row>
    <row r="103" spans="1:11">
      <c r="A103" s="2" t="s">
        <v>81</v>
      </c>
      <c r="B103" s="1" t="s">
        <v>18</v>
      </c>
      <c r="C103" s="3">
        <v>-32941.947</v>
      </c>
      <c r="D103" s="3">
        <v>-20724.063999999998</v>
      </c>
      <c r="E103" s="3">
        <v>17.25</v>
      </c>
      <c r="H103" s="1" t="s">
        <v>4</v>
      </c>
      <c r="I103" s="3">
        <v>-32921.847000000002</v>
      </c>
      <c r="J103" s="3">
        <v>-20765.243999999999</v>
      </c>
      <c r="K103" s="3">
        <v>17.399999999999999</v>
      </c>
    </row>
    <row r="104" spans="1:11">
      <c r="A104" s="2" t="s">
        <v>81</v>
      </c>
      <c r="B104" s="1" t="s">
        <v>17</v>
      </c>
      <c r="C104" s="3">
        <v>-32962.067000000003</v>
      </c>
      <c r="D104" s="3">
        <v>-20769.834999999999</v>
      </c>
      <c r="E104" s="3">
        <v>17.8</v>
      </c>
      <c r="H104" s="1" t="s">
        <v>3</v>
      </c>
      <c r="I104" s="3">
        <v>-32936.436999999998</v>
      </c>
      <c r="J104" s="3">
        <v>-20802.505000000001</v>
      </c>
      <c r="K104" s="3">
        <v>18.600000000000001</v>
      </c>
    </row>
    <row r="105" spans="1:11">
      <c r="A105" s="2" t="s">
        <v>81</v>
      </c>
      <c r="B105" s="1" t="s">
        <v>16</v>
      </c>
      <c r="C105" s="3">
        <v>-32981.637999999999</v>
      </c>
      <c r="D105" s="3">
        <v>-20815.835999999999</v>
      </c>
      <c r="E105" s="3">
        <v>17.75</v>
      </c>
      <c r="H105" s="1" t="s">
        <v>2</v>
      </c>
      <c r="I105" s="3">
        <v>-32939.837</v>
      </c>
      <c r="J105" s="3">
        <v>-20820.665000000001</v>
      </c>
      <c r="K105" s="3">
        <v>18.600000000000001</v>
      </c>
    </row>
    <row r="106" spans="1:11">
      <c r="A106" s="2" t="s">
        <v>81</v>
      </c>
      <c r="B106" s="1" t="s">
        <v>15</v>
      </c>
      <c r="C106" s="3">
        <v>-33001.218000000001</v>
      </c>
      <c r="D106" s="3">
        <v>-20861.847000000002</v>
      </c>
      <c r="E106" s="3">
        <v>17.7</v>
      </c>
      <c r="H106" s="1" t="s">
        <v>1</v>
      </c>
      <c r="I106" s="3">
        <v>-32968.377999999997</v>
      </c>
      <c r="J106" s="3">
        <v>-20875.857</v>
      </c>
      <c r="K106" s="3">
        <v>18</v>
      </c>
    </row>
    <row r="107" spans="1:11">
      <c r="A107" s="2" t="s">
        <v>81</v>
      </c>
      <c r="B107" s="1" t="s">
        <v>14</v>
      </c>
      <c r="C107" s="3">
        <v>-33020.838000000003</v>
      </c>
      <c r="D107" s="3">
        <v>-20907.838</v>
      </c>
      <c r="E107" s="3">
        <v>17.7</v>
      </c>
      <c r="H107" s="1" t="s">
        <v>0</v>
      </c>
      <c r="I107" s="3">
        <v>-32991.917999999998</v>
      </c>
      <c r="J107" s="3">
        <v>-20931.047999999999</v>
      </c>
      <c r="K107" s="3">
        <v>18</v>
      </c>
    </row>
    <row r="108" spans="1:11">
      <c r="A108" s="2" t="s">
        <v>81</v>
      </c>
      <c r="B108" s="1" t="s">
        <v>40</v>
      </c>
      <c r="C108" s="3">
        <v>-33040.457999999999</v>
      </c>
      <c r="D108" s="3">
        <v>-20953.829000000002</v>
      </c>
      <c r="E108" s="3">
        <v>17.7</v>
      </c>
      <c r="H108" s="1" t="s">
        <v>61</v>
      </c>
      <c r="I108" s="3">
        <v>-33007.158000000003</v>
      </c>
      <c r="J108" s="3">
        <v>-20968.039000000001</v>
      </c>
      <c r="K108" s="3">
        <v>18.5</v>
      </c>
    </row>
    <row r="109" spans="1:11">
      <c r="A109" s="2" t="s">
        <v>81</v>
      </c>
      <c r="B109" s="1" t="s">
        <v>41</v>
      </c>
      <c r="C109" s="3">
        <v>-33074.887999999999</v>
      </c>
      <c r="D109" s="3">
        <v>-21025.919999999998</v>
      </c>
      <c r="E109" s="3">
        <v>21</v>
      </c>
      <c r="H109" s="1" t="s">
        <v>62</v>
      </c>
      <c r="I109" s="3">
        <v>-33022.027999999998</v>
      </c>
      <c r="J109" s="3">
        <v>-21005.18</v>
      </c>
      <c r="K109" s="3">
        <v>19.399999999999999</v>
      </c>
    </row>
    <row r="110" spans="1:11">
      <c r="A110" s="2" t="s">
        <v>81</v>
      </c>
      <c r="B110" s="1" t="s">
        <v>47</v>
      </c>
      <c r="C110" s="3">
        <v>-33103.608</v>
      </c>
      <c r="D110" s="3">
        <v>-21100.851999999999</v>
      </c>
      <c r="E110" s="3">
        <v>18.100000000000001</v>
      </c>
      <c r="H110" s="1" t="s">
        <v>63</v>
      </c>
      <c r="I110" s="3">
        <v>-33037.817999999999</v>
      </c>
      <c r="J110" s="3">
        <v>-21041.93</v>
      </c>
      <c r="K110" s="3">
        <v>19.3</v>
      </c>
    </row>
    <row r="111" spans="1:11">
      <c r="A111" s="2" t="s">
        <v>81</v>
      </c>
      <c r="B111" s="1" t="s">
        <v>48</v>
      </c>
      <c r="C111" s="3">
        <v>-33119.048000000003</v>
      </c>
      <c r="D111" s="3">
        <v>-21134.713</v>
      </c>
      <c r="E111" s="3">
        <v>19.02</v>
      </c>
      <c r="H111" s="1" t="s">
        <v>64</v>
      </c>
      <c r="I111" s="3">
        <v>-33053.597999999998</v>
      </c>
      <c r="J111" s="3">
        <v>-21078.690999999999</v>
      </c>
      <c r="K111" s="3">
        <v>19.2</v>
      </c>
    </row>
    <row r="112" spans="1:11">
      <c r="A112" s="2" t="s">
        <v>81</v>
      </c>
      <c r="B112" s="1" t="s">
        <v>49</v>
      </c>
      <c r="C112" s="3">
        <v>-33130.237999999998</v>
      </c>
      <c r="D112" s="3">
        <v>-21165.583999999999</v>
      </c>
      <c r="E112" s="3">
        <v>17.2</v>
      </c>
      <c r="H112" s="1" t="s">
        <v>65</v>
      </c>
      <c r="I112" s="3">
        <v>-33069.387999999999</v>
      </c>
      <c r="J112" s="3">
        <v>-21115.441999999999</v>
      </c>
      <c r="K112" s="3">
        <v>19.100000000000001</v>
      </c>
    </row>
    <row r="113" spans="1:12">
      <c r="A113" s="2" t="s">
        <v>81</v>
      </c>
      <c r="B113" s="1" t="s">
        <v>50</v>
      </c>
      <c r="C113" s="3">
        <v>-33142.008000000002</v>
      </c>
      <c r="D113" s="3">
        <v>-21193.184000000001</v>
      </c>
      <c r="E113" s="3">
        <v>17.2</v>
      </c>
      <c r="H113" s="1" t="s">
        <v>66</v>
      </c>
      <c r="I113" s="3">
        <v>-33094.038</v>
      </c>
      <c r="J113" s="3">
        <v>-21170.153999999999</v>
      </c>
      <c r="K113" s="3">
        <v>17.899999999999999</v>
      </c>
    </row>
    <row r="114" spans="1:12">
      <c r="A114" s="2" t="s">
        <v>81</v>
      </c>
      <c r="B114" s="1" t="s">
        <v>51</v>
      </c>
      <c r="C114" s="3">
        <v>-33165.277999999998</v>
      </c>
      <c r="D114" s="3">
        <v>-21248.486000000001</v>
      </c>
      <c r="E114" s="3">
        <v>16.899999999999999</v>
      </c>
      <c r="H114" s="1" t="s">
        <v>67</v>
      </c>
      <c r="I114" s="3">
        <v>-33109.538</v>
      </c>
      <c r="J114" s="3">
        <v>-21207.034</v>
      </c>
      <c r="K114" s="3">
        <v>18.100000000000001</v>
      </c>
    </row>
    <row r="115" spans="1:12">
      <c r="A115" s="2" t="s">
        <v>81</v>
      </c>
      <c r="H115" s="1" t="s">
        <v>82</v>
      </c>
      <c r="I115" s="3">
        <v>-33133.368000000002</v>
      </c>
      <c r="J115" s="3">
        <v>-21262.096000000001</v>
      </c>
      <c r="K115" s="3">
        <v>17.600000000000001</v>
      </c>
    </row>
    <row r="117" spans="1:12">
      <c r="A117" s="2" t="s">
        <v>83</v>
      </c>
      <c r="B117" s="1" t="s">
        <v>27</v>
      </c>
      <c r="C117" s="3">
        <v>-33184.667999999998</v>
      </c>
      <c r="D117" s="3">
        <v>-21294.566999999999</v>
      </c>
      <c r="E117" s="3">
        <v>16.649999999999999</v>
      </c>
      <c r="H117" s="1" t="s">
        <v>13</v>
      </c>
      <c r="I117" s="3">
        <v>-33153.178</v>
      </c>
      <c r="J117" s="3">
        <v>-21308.017</v>
      </c>
      <c r="K117" s="3">
        <v>17.600000000000001</v>
      </c>
    </row>
    <row r="118" spans="1:12">
      <c r="A118" s="2" t="s">
        <v>83</v>
      </c>
      <c r="B118" s="1" t="s">
        <v>26</v>
      </c>
      <c r="C118" s="3">
        <v>-33204.057999999997</v>
      </c>
      <c r="D118" s="3">
        <v>-21340.657999999999</v>
      </c>
      <c r="E118" s="3">
        <v>16.399999999999999</v>
      </c>
      <c r="H118" s="1" t="s">
        <v>12</v>
      </c>
      <c r="I118" s="3">
        <v>-33172.978000000003</v>
      </c>
      <c r="J118" s="3">
        <v>-21353.928</v>
      </c>
      <c r="K118" s="3">
        <v>17.399999999999999</v>
      </c>
    </row>
    <row r="119" spans="1:12">
      <c r="A119" s="2" t="s">
        <v>83</v>
      </c>
      <c r="B119" s="1" t="s">
        <v>25</v>
      </c>
      <c r="C119" s="3">
        <v>-33210.978000000003</v>
      </c>
      <c r="D119" s="3">
        <v>-21359.457999999999</v>
      </c>
      <c r="E119" s="3">
        <v>15.4</v>
      </c>
      <c r="H119" s="1" t="s">
        <v>11</v>
      </c>
      <c r="I119" s="3">
        <v>-33205.048000000003</v>
      </c>
      <c r="J119" s="3">
        <v>-21427.11</v>
      </c>
      <c r="K119" s="3">
        <v>16.61</v>
      </c>
    </row>
    <row r="120" spans="1:12">
      <c r="A120" s="2" t="s">
        <v>83</v>
      </c>
      <c r="B120" s="1" t="s">
        <v>24</v>
      </c>
      <c r="C120" s="3">
        <v>-33231.108</v>
      </c>
      <c r="D120" s="3">
        <v>-21405.24</v>
      </c>
      <c r="E120" s="3">
        <v>15.95</v>
      </c>
      <c r="H120" s="1" t="s">
        <v>10</v>
      </c>
      <c r="I120" s="3">
        <v>-33232.449000000001</v>
      </c>
      <c r="J120" s="3">
        <v>-21491.460999999999</v>
      </c>
      <c r="K120" s="3">
        <v>16.649999999999999</v>
      </c>
    </row>
    <row r="121" spans="1:12">
      <c r="A121" s="2" t="s">
        <v>83</v>
      </c>
      <c r="B121" s="1" t="s">
        <v>23</v>
      </c>
      <c r="C121" s="3">
        <v>-33251.237999999998</v>
      </c>
      <c r="D121" s="3">
        <v>-21451.010999999999</v>
      </c>
      <c r="E121" s="3">
        <v>16.5</v>
      </c>
      <c r="H121" s="1" t="s">
        <v>9</v>
      </c>
      <c r="I121" s="3">
        <v>-33259.879000000001</v>
      </c>
      <c r="J121" s="3">
        <v>-21555.862000000001</v>
      </c>
      <c r="K121" s="3">
        <v>16.7</v>
      </c>
    </row>
    <row r="122" spans="1:12">
      <c r="A122" s="2" t="s">
        <v>83</v>
      </c>
      <c r="B122" s="1" t="s">
        <v>22</v>
      </c>
      <c r="C122" s="3">
        <v>-33274.499000000003</v>
      </c>
      <c r="D122" s="3">
        <v>-21506.311000000002</v>
      </c>
      <c r="E122" s="3">
        <v>16.2</v>
      </c>
      <c r="H122" s="1" t="s">
        <v>8</v>
      </c>
      <c r="I122" s="3">
        <v>-33291.339</v>
      </c>
      <c r="J122" s="3">
        <v>-21630.632000000001</v>
      </c>
      <c r="K122" s="3">
        <v>17.09</v>
      </c>
    </row>
    <row r="123" spans="1:12">
      <c r="A123" s="2" t="s">
        <v>83</v>
      </c>
      <c r="B123" s="1" t="s">
        <v>21</v>
      </c>
      <c r="C123" s="3">
        <v>-33298.099000000002</v>
      </c>
      <c r="D123" s="3">
        <v>-21561.472000000002</v>
      </c>
      <c r="E123" s="3">
        <v>16.260000000000002</v>
      </c>
      <c r="H123" s="1" t="s">
        <v>7</v>
      </c>
      <c r="I123" s="3">
        <v>-33310.629000000001</v>
      </c>
      <c r="J123" s="3">
        <v>-21677.113000000001</v>
      </c>
      <c r="K123" s="3">
        <v>17.59</v>
      </c>
    </row>
    <row r="124" spans="1:12">
      <c r="A124" s="2" t="s">
        <v>83</v>
      </c>
      <c r="B124" s="1" t="s">
        <v>20</v>
      </c>
      <c r="C124" s="3">
        <v>-33321.709000000003</v>
      </c>
      <c r="D124" s="3">
        <v>-21616.632000000001</v>
      </c>
      <c r="E124" s="3">
        <v>16.329999999999998</v>
      </c>
      <c r="H124" s="1" t="s">
        <v>86</v>
      </c>
      <c r="I124" s="3">
        <v>-33317.178999999996</v>
      </c>
      <c r="J124" s="3">
        <v>-21689.453000000001</v>
      </c>
      <c r="K124" s="3">
        <v>16.399999999999999</v>
      </c>
    </row>
    <row r="125" spans="1:12">
      <c r="A125" s="2" t="s">
        <v>83</v>
      </c>
      <c r="B125" s="1" t="s">
        <v>19</v>
      </c>
      <c r="C125" s="3">
        <v>-33337.438999999998</v>
      </c>
      <c r="D125" s="3">
        <v>-21653.402999999998</v>
      </c>
      <c r="E125" s="3">
        <v>16.37</v>
      </c>
      <c r="H125" s="1" t="s">
        <v>5</v>
      </c>
      <c r="I125" s="3">
        <v>-33320.989000000001</v>
      </c>
      <c r="J125" s="3">
        <v>-21698.383000000002</v>
      </c>
      <c r="K125" s="3">
        <v>15.1</v>
      </c>
      <c r="L125" s="3" t="s">
        <v>88</v>
      </c>
    </row>
    <row r="126" spans="1:12">
      <c r="A126" s="2" t="s">
        <v>83</v>
      </c>
      <c r="B126" s="1" t="s">
        <v>18</v>
      </c>
      <c r="C126" s="3">
        <v>-33351.159</v>
      </c>
      <c r="D126" s="3">
        <v>-21685.492999999999</v>
      </c>
      <c r="E126" s="3">
        <v>16.399999999999999</v>
      </c>
      <c r="F126" s="3" t="s">
        <v>87</v>
      </c>
    </row>
    <row r="128" spans="1:12">
      <c r="A128" s="2" t="s">
        <v>91</v>
      </c>
      <c r="B128" s="1" t="s">
        <v>27</v>
      </c>
      <c r="C128" s="3">
        <v>-33664.601000000002</v>
      </c>
      <c r="D128" s="3">
        <v>-22429.88</v>
      </c>
    </row>
    <row r="129" spans="1:12">
      <c r="A129" s="2" t="s">
        <v>91</v>
      </c>
      <c r="B129" s="1" t="s">
        <v>76</v>
      </c>
      <c r="C129" s="3">
        <v>-33680.690999999999</v>
      </c>
      <c r="D129" s="3">
        <v>-22461.200000000001</v>
      </c>
    </row>
    <row r="130" spans="1:12">
      <c r="A130" s="2" t="s">
        <v>91</v>
      </c>
      <c r="B130" s="1" t="s">
        <v>25</v>
      </c>
      <c r="C130" s="3">
        <v>-33683.470999999998</v>
      </c>
      <c r="D130" s="3">
        <v>-22466.2</v>
      </c>
      <c r="H130" s="1" t="s">
        <v>11</v>
      </c>
      <c r="I130" s="3">
        <v>-33620.500999999997</v>
      </c>
      <c r="J130" s="3">
        <v>-22425.969000000001</v>
      </c>
      <c r="L130" s="1" t="s">
        <v>92</v>
      </c>
    </row>
    <row r="131" spans="1:12">
      <c r="A131" s="2" t="s">
        <v>91</v>
      </c>
      <c r="B131" s="1" t="s">
        <v>24</v>
      </c>
      <c r="C131" s="3">
        <v>-33692.080999999998</v>
      </c>
      <c r="D131" s="3">
        <v>-22484.42</v>
      </c>
    </row>
    <row r="132" spans="1:12">
      <c r="A132" s="2" t="s">
        <v>91</v>
      </c>
      <c r="B132" s="1" t="s">
        <v>23</v>
      </c>
      <c r="C132" s="3">
        <v>-33709.731</v>
      </c>
      <c r="D132" s="3">
        <v>-22520.679</v>
      </c>
    </row>
    <row r="133" spans="1:12">
      <c r="A133" s="2" t="s">
        <v>91</v>
      </c>
      <c r="B133" s="1" t="s">
        <v>22</v>
      </c>
      <c r="C133" s="3">
        <v>-33714.949999999997</v>
      </c>
      <c r="D133" s="3">
        <v>-22532.728999999999</v>
      </c>
    </row>
    <row r="134" spans="1:12">
      <c r="A134" s="2" t="s">
        <v>91</v>
      </c>
      <c r="B134" s="1" t="s">
        <v>21</v>
      </c>
      <c r="C134" s="3">
        <v>-33731.370000000003</v>
      </c>
      <c r="D134" s="3">
        <v>-22574.878000000001</v>
      </c>
      <c r="F134" s="3" t="s">
        <v>94</v>
      </c>
    </row>
    <row r="135" spans="1:12">
      <c r="A135" s="2" t="s">
        <v>91</v>
      </c>
      <c r="B135" s="1" t="s">
        <v>16</v>
      </c>
      <c r="C135" s="3">
        <v>-33761.142</v>
      </c>
      <c r="D135" s="3">
        <v>-22670.416000000001</v>
      </c>
      <c r="E135" s="3">
        <v>17.968</v>
      </c>
      <c r="F135" s="3" t="s">
        <v>94</v>
      </c>
      <c r="H135" s="1" t="s">
        <v>2</v>
      </c>
      <c r="I135" s="3">
        <v>-33742.436000000002</v>
      </c>
      <c r="J135" s="3">
        <v>-22663.745999999999</v>
      </c>
      <c r="K135" s="3">
        <v>6.6230000000000002</v>
      </c>
      <c r="L135" s="1" t="s">
        <v>93</v>
      </c>
    </row>
    <row r="136" spans="1:12">
      <c r="A136" s="2" t="s">
        <v>91</v>
      </c>
      <c r="B136" s="1" t="s">
        <v>15</v>
      </c>
      <c r="C136" s="3">
        <v>-33785.552000000003</v>
      </c>
      <c r="D136" s="3">
        <v>-22679.115000000002</v>
      </c>
      <c r="E136" s="3">
        <v>27.01</v>
      </c>
      <c r="H136" s="1" t="s">
        <v>1</v>
      </c>
      <c r="I136" s="3">
        <v>-33733.256999999998</v>
      </c>
      <c r="J136" s="3">
        <v>-22660.098999999998</v>
      </c>
      <c r="K136" s="3">
        <v>13.635999999999999</v>
      </c>
    </row>
    <row r="137" spans="1:12">
      <c r="A137" s="2" t="s">
        <v>91</v>
      </c>
      <c r="B137" s="1" t="s">
        <v>14</v>
      </c>
      <c r="C137" s="3">
        <v>-33792.660000000003</v>
      </c>
      <c r="D137" s="3">
        <v>-22699.646000000001</v>
      </c>
      <c r="E137" s="3">
        <v>25.498000000000001</v>
      </c>
      <c r="F137" s="3" t="s">
        <v>157</v>
      </c>
      <c r="H137" s="1" t="s">
        <v>0</v>
      </c>
      <c r="I137" s="3">
        <v>-33733.536999999997</v>
      </c>
      <c r="J137" s="3">
        <v>-22660.756000000001</v>
      </c>
      <c r="K137" s="3">
        <v>13.635999999999999</v>
      </c>
    </row>
    <row r="138" spans="1:12">
      <c r="A138" s="2" t="s">
        <v>91</v>
      </c>
      <c r="B138" s="1" t="s">
        <v>40</v>
      </c>
      <c r="C138" s="3">
        <v>-33805.08</v>
      </c>
      <c r="D138" s="3">
        <v>-22736.025000000001</v>
      </c>
      <c r="E138" s="3">
        <v>22.024999999999999</v>
      </c>
      <c r="F138" s="3" t="s">
        <v>158</v>
      </c>
      <c r="H138" s="1" t="s">
        <v>61</v>
      </c>
      <c r="I138" s="3">
        <v>-33723.142</v>
      </c>
      <c r="J138" s="3">
        <v>-22665.187999999998</v>
      </c>
      <c r="K138" s="3">
        <v>24.937000000000001</v>
      </c>
    </row>
    <row r="139" spans="1:12">
      <c r="A139" s="2" t="s">
        <v>91</v>
      </c>
      <c r="B139" s="1" t="s">
        <v>41</v>
      </c>
      <c r="C139" s="3">
        <v>-33813.758999999998</v>
      </c>
      <c r="D139" s="3">
        <v>-22779.366000000002</v>
      </c>
      <c r="E139" s="3">
        <v>13.635999999999999</v>
      </c>
      <c r="H139" s="1" t="s">
        <v>62</v>
      </c>
      <c r="I139" s="3">
        <v>-33732.427000000003</v>
      </c>
      <c r="J139" s="3">
        <v>-22683.688999999998</v>
      </c>
      <c r="K139" s="3">
        <v>23.652000000000001</v>
      </c>
    </row>
    <row r="140" spans="1:12">
      <c r="A140" s="2" t="s">
        <v>91</v>
      </c>
      <c r="B140" s="1" t="s">
        <v>47</v>
      </c>
      <c r="C140" s="3">
        <v>-33829.447999999997</v>
      </c>
      <c r="D140" s="3">
        <v>-22816.161</v>
      </c>
      <c r="E140" s="3">
        <v>13.635999999999999</v>
      </c>
      <c r="H140" s="1" t="s">
        <v>63</v>
      </c>
      <c r="I140" s="3">
        <v>-33748.04</v>
      </c>
      <c r="J140" s="3">
        <v>-22713.884999999998</v>
      </c>
      <c r="K140" s="3">
        <v>21.134</v>
      </c>
    </row>
    <row r="141" spans="1:12">
      <c r="A141" s="2" t="s">
        <v>91</v>
      </c>
      <c r="B141" s="1" t="s">
        <v>48</v>
      </c>
      <c r="C141" s="3">
        <v>-33851.33</v>
      </c>
      <c r="D141" s="3">
        <v>-22867.48</v>
      </c>
      <c r="E141" s="3">
        <v>13.635999999999999</v>
      </c>
      <c r="H141" s="1" t="s">
        <v>64</v>
      </c>
      <c r="I141" s="3">
        <v>-33758.019999999997</v>
      </c>
      <c r="J141" s="3">
        <v>-22733.345000000001</v>
      </c>
      <c r="K141" s="3">
        <v>19.587</v>
      </c>
    </row>
    <row r="142" spans="1:12">
      <c r="A142" s="2" t="s">
        <v>91</v>
      </c>
      <c r="B142" s="1" t="s">
        <v>49</v>
      </c>
      <c r="C142" s="3">
        <v>-33858.462</v>
      </c>
      <c r="D142" s="3">
        <v>-22884.205000000002</v>
      </c>
      <c r="E142" s="3">
        <v>13.635999999999999</v>
      </c>
      <c r="H142" s="1" t="s">
        <v>65</v>
      </c>
      <c r="I142" s="3">
        <v>-33770.644999999997</v>
      </c>
      <c r="J142" s="3">
        <v>-22754.285</v>
      </c>
      <c r="K142" s="3">
        <v>16.186</v>
      </c>
    </row>
    <row r="143" spans="1:12">
      <c r="A143" s="2" t="s">
        <v>91</v>
      </c>
      <c r="B143" s="1" t="s">
        <v>50</v>
      </c>
      <c r="C143" s="3">
        <v>-33879.856</v>
      </c>
      <c r="D143" s="3">
        <v>-22934.379000000001</v>
      </c>
      <c r="E143" s="3">
        <v>13.635999999999999</v>
      </c>
      <c r="H143" s="1" t="s">
        <v>66</v>
      </c>
      <c r="I143" s="3">
        <v>-33773.978999999999</v>
      </c>
      <c r="J143" s="3">
        <v>-22762.102999999999</v>
      </c>
      <c r="K143" s="3">
        <v>16.186</v>
      </c>
    </row>
    <row r="144" spans="1:12">
      <c r="A144" s="2" t="s">
        <v>91</v>
      </c>
      <c r="B144" s="1" t="s">
        <v>51</v>
      </c>
      <c r="C144" s="3">
        <v>-33901.25</v>
      </c>
      <c r="D144" s="3">
        <v>-22984.553</v>
      </c>
      <c r="E144" s="3">
        <v>13.635999999999999</v>
      </c>
      <c r="H144" s="1" t="s">
        <v>67</v>
      </c>
      <c r="I144" s="3">
        <v>-33781.019</v>
      </c>
      <c r="J144" s="3">
        <v>-22778.867999999999</v>
      </c>
      <c r="K144" s="3">
        <v>16.265999999999998</v>
      </c>
      <c r="L144" s="1" t="s">
        <v>159</v>
      </c>
    </row>
    <row r="145" spans="1:11">
      <c r="A145" s="2" t="s">
        <v>91</v>
      </c>
      <c r="B145" s="1" t="s">
        <v>52</v>
      </c>
      <c r="C145" s="3">
        <v>-33908.381000000001</v>
      </c>
      <c r="D145" s="3">
        <v>-23001.276999999998</v>
      </c>
      <c r="E145" s="3">
        <v>13.635999999999999</v>
      </c>
      <c r="H145" s="1" t="s">
        <v>68</v>
      </c>
      <c r="I145" s="3">
        <v>-33786.908000000003</v>
      </c>
      <c r="J145" s="3">
        <v>-22788.217000000001</v>
      </c>
      <c r="K145" s="3">
        <v>14.536</v>
      </c>
    </row>
    <row r="146" spans="1:11">
      <c r="A146" s="2" t="s">
        <v>91</v>
      </c>
      <c r="B146" s="1" t="s">
        <v>53</v>
      </c>
      <c r="C146" s="3">
        <v>-33929.773999999998</v>
      </c>
      <c r="D146" s="3">
        <v>-23051.45</v>
      </c>
      <c r="E146" s="3">
        <v>13.635999999999999</v>
      </c>
      <c r="H146" s="1" t="s">
        <v>69</v>
      </c>
      <c r="I146" s="3">
        <v>-33803.408000000003</v>
      </c>
      <c r="J146" s="3">
        <v>-22826.917000000001</v>
      </c>
      <c r="K146" s="3">
        <v>14.536</v>
      </c>
    </row>
    <row r="147" spans="1:11">
      <c r="A147" s="2" t="s">
        <v>91</v>
      </c>
      <c r="B147" s="1" t="s">
        <v>54</v>
      </c>
      <c r="C147" s="3">
        <v>-33951.167999999998</v>
      </c>
      <c r="D147" s="3">
        <v>-23101.626</v>
      </c>
      <c r="E147" s="3">
        <v>13.635999999999999</v>
      </c>
      <c r="H147" s="1" t="s">
        <v>70</v>
      </c>
      <c r="I147" s="3">
        <v>-33804.235999999997</v>
      </c>
      <c r="J147" s="3">
        <v>-22826.563999999998</v>
      </c>
      <c r="K147" s="3">
        <v>13.635999999999999</v>
      </c>
    </row>
    <row r="148" spans="1:11">
      <c r="A148" s="2" t="s">
        <v>91</v>
      </c>
      <c r="H148" s="1" t="s">
        <v>71</v>
      </c>
      <c r="I148" s="3">
        <v>-33826.243999999999</v>
      </c>
      <c r="J148" s="3">
        <v>-22878.175999999999</v>
      </c>
      <c r="K148" s="3">
        <v>13.635999999999999</v>
      </c>
    </row>
    <row r="149" spans="1:11">
      <c r="A149" s="2" t="s">
        <v>91</v>
      </c>
      <c r="H149" s="1" t="s">
        <v>72</v>
      </c>
      <c r="I149" s="3">
        <v>-33833.375</v>
      </c>
      <c r="J149" s="3">
        <v>-22894.901000000002</v>
      </c>
      <c r="K149" s="3">
        <v>13.635999999999999</v>
      </c>
    </row>
    <row r="150" spans="1:11">
      <c r="A150" s="2" t="s">
        <v>91</v>
      </c>
      <c r="H150" s="1" t="s">
        <v>73</v>
      </c>
      <c r="I150" s="3">
        <v>-33859.048000000003</v>
      </c>
      <c r="J150" s="3">
        <v>-22955.109</v>
      </c>
      <c r="K150" s="3">
        <v>13.635</v>
      </c>
    </row>
    <row r="151" spans="1:11">
      <c r="A151" s="2" t="s">
        <v>91</v>
      </c>
      <c r="H151" s="1" t="s">
        <v>74</v>
      </c>
      <c r="I151" s="3">
        <v>-33876.163</v>
      </c>
      <c r="J151" s="3">
        <v>-22995.249</v>
      </c>
      <c r="K151" s="3">
        <v>13.635999999999999</v>
      </c>
    </row>
    <row r="152" spans="1:11">
      <c r="A152" s="2" t="s">
        <v>91</v>
      </c>
      <c r="H152" s="1" t="s">
        <v>75</v>
      </c>
      <c r="I152" s="3">
        <v>-33883.294000000002</v>
      </c>
      <c r="J152" s="3">
        <v>-23011.973999999998</v>
      </c>
      <c r="K152" s="3">
        <v>13.635999999999999</v>
      </c>
    </row>
    <row r="153" spans="1:11">
      <c r="A153" s="2" t="s">
        <v>91</v>
      </c>
      <c r="H153" s="1" t="s">
        <v>89</v>
      </c>
      <c r="I153" s="3">
        <v>-33904.686999999998</v>
      </c>
      <c r="J153" s="3">
        <v>-23062.147000000001</v>
      </c>
      <c r="K153" s="3">
        <v>13.635999999999999</v>
      </c>
    </row>
    <row r="154" spans="1:11">
      <c r="A154" s="2" t="s">
        <v>91</v>
      </c>
      <c r="H154" s="1" t="s">
        <v>90</v>
      </c>
      <c r="I154" s="3">
        <v>-33926.080999999998</v>
      </c>
      <c r="J154" s="3">
        <v>-23112.321</v>
      </c>
      <c r="K154" s="3">
        <v>13.635999999999999</v>
      </c>
    </row>
    <row r="156" spans="1:11">
      <c r="A156" s="2" t="s">
        <v>95</v>
      </c>
      <c r="B156" s="1" t="s">
        <v>27</v>
      </c>
      <c r="C156" s="3">
        <v>-33959.726000000002</v>
      </c>
      <c r="D156" s="3">
        <v>-23121.694</v>
      </c>
      <c r="E156" s="3">
        <v>13.637</v>
      </c>
      <c r="H156" s="1" t="s">
        <v>13</v>
      </c>
      <c r="I156" s="3">
        <v>-33934.639000000003</v>
      </c>
      <c r="J156" s="3">
        <v>-23132.391</v>
      </c>
      <c r="K156" s="3">
        <v>13.635999999999999</v>
      </c>
    </row>
    <row r="157" spans="1:11">
      <c r="A157" s="2" t="s">
        <v>95</v>
      </c>
      <c r="B157" s="1" t="s">
        <v>76</v>
      </c>
      <c r="C157" s="3">
        <v>-33981.120000000003</v>
      </c>
      <c r="D157" s="3">
        <v>-23171.866999999998</v>
      </c>
      <c r="E157" s="3">
        <v>13.637</v>
      </c>
      <c r="H157" s="1" t="s">
        <v>12</v>
      </c>
      <c r="I157" s="3">
        <v>-33956.033000000003</v>
      </c>
      <c r="J157" s="3">
        <v>-23182.563999999998</v>
      </c>
      <c r="K157" s="3">
        <v>13.635</v>
      </c>
    </row>
    <row r="158" spans="1:11">
      <c r="A158" s="2" t="s">
        <v>95</v>
      </c>
      <c r="B158" s="1" t="s">
        <v>25</v>
      </c>
      <c r="C158" s="3">
        <v>-34002.514000000003</v>
      </c>
      <c r="D158" s="3">
        <v>-23222.043000000001</v>
      </c>
      <c r="E158" s="3">
        <v>13.635999999999999</v>
      </c>
      <c r="H158" s="1" t="s">
        <v>11</v>
      </c>
      <c r="I158" s="3">
        <v>-33977.427000000003</v>
      </c>
      <c r="J158" s="3">
        <v>-23232.739000000001</v>
      </c>
      <c r="K158" s="3">
        <v>13.635999999999999</v>
      </c>
    </row>
    <row r="159" spans="1:11">
      <c r="A159" s="2" t="s">
        <v>95</v>
      </c>
      <c r="B159" s="1" t="s">
        <v>24</v>
      </c>
      <c r="C159" s="3">
        <v>-34009.644999999997</v>
      </c>
      <c r="D159" s="3">
        <v>-23238.767</v>
      </c>
      <c r="E159" s="3">
        <v>13.635999999999999</v>
      </c>
      <c r="H159" s="1" t="s">
        <v>10</v>
      </c>
      <c r="I159" s="3">
        <v>-33984.557999999997</v>
      </c>
      <c r="J159" s="3">
        <v>-23249.464</v>
      </c>
      <c r="K159" s="3">
        <v>13.635999999999999</v>
      </c>
    </row>
    <row r="160" spans="1:11">
      <c r="A160" s="2" t="s">
        <v>95</v>
      </c>
      <c r="B160" s="1" t="s">
        <v>23</v>
      </c>
      <c r="C160" s="3">
        <v>-34035.923000000003</v>
      </c>
      <c r="D160" s="3">
        <v>-23300.397000000001</v>
      </c>
      <c r="E160" s="3">
        <v>13.635999999999999</v>
      </c>
      <c r="H160" s="1" t="s">
        <v>9</v>
      </c>
      <c r="I160" s="3">
        <v>-34009.345000000001</v>
      </c>
      <c r="J160" s="3">
        <v>-23307.598999999998</v>
      </c>
      <c r="K160" s="3">
        <v>13.637</v>
      </c>
    </row>
    <row r="161" spans="1:11">
      <c r="A161" s="2" t="s">
        <v>95</v>
      </c>
      <c r="B161" s="1" t="s">
        <v>22</v>
      </c>
      <c r="C161" s="3">
        <v>-34052.432000000001</v>
      </c>
      <c r="D161" s="3">
        <v>-23339.116000000002</v>
      </c>
      <c r="E161" s="3">
        <v>13.635999999999999</v>
      </c>
      <c r="H161" s="1" t="s">
        <v>8</v>
      </c>
      <c r="I161" s="3">
        <v>-34027.345000000001</v>
      </c>
      <c r="J161" s="3">
        <v>-23349.811000000002</v>
      </c>
      <c r="K161" s="3">
        <v>13.635999999999999</v>
      </c>
    </row>
    <row r="162" spans="1:11">
      <c r="A162" s="2" t="s">
        <v>95</v>
      </c>
      <c r="B162" s="1" t="s">
        <v>21</v>
      </c>
      <c r="C162" s="3">
        <v>-34059.563000000002</v>
      </c>
      <c r="D162" s="3">
        <v>-23355.84</v>
      </c>
      <c r="E162" s="3">
        <v>13.635999999999999</v>
      </c>
      <c r="H162" s="1" t="s">
        <v>7</v>
      </c>
      <c r="I162" s="3">
        <v>-34055.870999999999</v>
      </c>
      <c r="J162" s="3">
        <v>-23416.708999999999</v>
      </c>
      <c r="K162" s="3">
        <v>13.635999999999999</v>
      </c>
    </row>
    <row r="163" spans="1:11">
      <c r="A163" s="2" t="s">
        <v>95</v>
      </c>
      <c r="B163" s="1" t="s">
        <v>20</v>
      </c>
      <c r="C163" s="3">
        <v>-34092.614000000001</v>
      </c>
      <c r="D163" s="3">
        <v>-23433.352999999999</v>
      </c>
      <c r="E163" s="3">
        <v>13.635999999999999</v>
      </c>
      <c r="H163" s="1" t="s">
        <v>6</v>
      </c>
      <c r="I163" s="3">
        <v>-34077.264000000003</v>
      </c>
      <c r="J163" s="3">
        <v>-23466.883999999998</v>
      </c>
      <c r="K163" s="3">
        <v>13.635999999999999</v>
      </c>
    </row>
    <row r="164" spans="1:11">
      <c r="A164" s="2" t="s">
        <v>95</v>
      </c>
      <c r="B164" s="1" t="s">
        <v>19</v>
      </c>
      <c r="C164" s="3">
        <v>-34097.067000000003</v>
      </c>
      <c r="D164" s="3">
        <v>-23443.797999999999</v>
      </c>
      <c r="E164" s="3">
        <v>13.635999999999999</v>
      </c>
      <c r="H164" s="1" t="s">
        <v>5</v>
      </c>
      <c r="I164" s="3">
        <v>-34084.394999999997</v>
      </c>
      <c r="J164" s="3">
        <v>-23483.609</v>
      </c>
      <c r="K164" s="3">
        <v>13.635999999999999</v>
      </c>
    </row>
    <row r="165" spans="1:11">
      <c r="A165" s="2" t="s">
        <v>95</v>
      </c>
      <c r="B165" s="1" t="s">
        <v>18</v>
      </c>
      <c r="C165" s="3">
        <v>-34124.521999999997</v>
      </c>
      <c r="D165" s="3">
        <v>-23508.187999999998</v>
      </c>
      <c r="E165" s="3">
        <v>13.635</v>
      </c>
      <c r="H165" s="1" t="s">
        <v>4</v>
      </c>
      <c r="I165" s="3">
        <v>-34105.788999999997</v>
      </c>
      <c r="J165" s="3">
        <v>-23533.780999999999</v>
      </c>
      <c r="K165" s="3">
        <v>13.635999999999999</v>
      </c>
    </row>
    <row r="166" spans="1:11">
      <c r="A166" s="2" t="s">
        <v>95</v>
      </c>
      <c r="B166" s="1" t="s">
        <v>17</v>
      </c>
      <c r="C166" s="3">
        <v>-34152.269</v>
      </c>
      <c r="D166" s="3">
        <v>-23573.258999999998</v>
      </c>
      <c r="E166" s="3">
        <v>13.635</v>
      </c>
      <c r="H166" s="1" t="s">
        <v>3</v>
      </c>
      <c r="I166" s="3">
        <v>-34127.182999999997</v>
      </c>
      <c r="J166" s="3">
        <v>-23583.955999999998</v>
      </c>
      <c r="K166" s="3">
        <v>13.635999999999999</v>
      </c>
    </row>
    <row r="167" spans="1:11">
      <c r="A167" s="2" t="s">
        <v>95</v>
      </c>
      <c r="B167" s="1" t="s">
        <v>16</v>
      </c>
      <c r="C167" s="3">
        <v>-34201.72</v>
      </c>
      <c r="D167" s="3">
        <v>-23691.167000000001</v>
      </c>
      <c r="E167" s="3">
        <v>14.05</v>
      </c>
      <c r="F167" s="3" t="s">
        <v>160</v>
      </c>
      <c r="H167" s="1" t="s">
        <v>2</v>
      </c>
      <c r="I167" s="3">
        <v>-34178.536999999997</v>
      </c>
      <c r="J167" s="3">
        <v>-23706.325000000001</v>
      </c>
      <c r="K167" s="3">
        <v>13.21</v>
      </c>
    </row>
    <row r="168" spans="1:11">
      <c r="A168" s="2" t="s">
        <v>95</v>
      </c>
      <c r="H168" s="1" t="s">
        <v>1</v>
      </c>
      <c r="I168" s="3">
        <v>-34192.807000000001</v>
      </c>
      <c r="J168" s="3">
        <v>-23739.77</v>
      </c>
      <c r="K168" s="3">
        <v>13.05</v>
      </c>
    </row>
    <row r="169" spans="1:11">
      <c r="A169" s="2" t="s">
        <v>95</v>
      </c>
      <c r="B169" s="1" t="s">
        <v>14</v>
      </c>
      <c r="C169" s="3">
        <v>-34225.535000000003</v>
      </c>
      <c r="D169" s="3">
        <v>-23747.06</v>
      </c>
      <c r="E169" s="3">
        <v>14.28</v>
      </c>
      <c r="F169" s="3" t="s">
        <v>160</v>
      </c>
      <c r="H169" s="1" t="s">
        <v>0</v>
      </c>
      <c r="I169" s="3">
        <v>-34198.124000000003</v>
      </c>
      <c r="J169" s="3">
        <v>-23752.287</v>
      </c>
      <c r="K169" s="3">
        <v>13.01</v>
      </c>
    </row>
    <row r="170" spans="1:11">
      <c r="A170" s="2" t="s">
        <v>95</v>
      </c>
      <c r="B170" s="1" t="s">
        <v>40</v>
      </c>
      <c r="C170" s="3">
        <v>-34262.322</v>
      </c>
      <c r="D170" s="3">
        <v>-23833.663</v>
      </c>
      <c r="E170" s="3">
        <v>14.54</v>
      </c>
      <c r="H170" s="1" t="s">
        <v>61</v>
      </c>
      <c r="I170" s="3">
        <v>-34237.22</v>
      </c>
      <c r="J170" s="3">
        <v>-23844.325000000001</v>
      </c>
      <c r="K170" s="3">
        <v>12.73</v>
      </c>
    </row>
    <row r="171" spans="1:11">
      <c r="A171" s="2" t="s">
        <v>95</v>
      </c>
      <c r="B171" s="1" t="s">
        <v>41</v>
      </c>
      <c r="C171" s="3">
        <v>-34294.966999999997</v>
      </c>
      <c r="D171" s="3">
        <v>-23910.513999999999</v>
      </c>
      <c r="E171" s="3">
        <v>14.77</v>
      </c>
      <c r="H171" s="1" t="s">
        <v>62</v>
      </c>
      <c r="I171" s="3">
        <v>-34276.315999999999</v>
      </c>
      <c r="J171" s="3">
        <v>-23936.363000000001</v>
      </c>
      <c r="K171" s="3">
        <v>12.45</v>
      </c>
    </row>
    <row r="172" spans="1:11">
      <c r="A172" s="2" t="s">
        <v>95</v>
      </c>
      <c r="H172" s="1" t="s">
        <v>63</v>
      </c>
      <c r="I172" s="3">
        <v>-34315.411</v>
      </c>
      <c r="J172" s="3">
        <v>-24028.400000000001</v>
      </c>
      <c r="K172" s="3">
        <v>12.18</v>
      </c>
    </row>
    <row r="174" spans="1:11">
      <c r="A174" s="2" t="s">
        <v>97</v>
      </c>
      <c r="B174" s="1" t="s">
        <v>80</v>
      </c>
      <c r="C174" s="3">
        <v>-34379.999000000003</v>
      </c>
      <c r="D174" s="3">
        <v>-24110.696</v>
      </c>
      <c r="H174" s="1" t="s">
        <v>77</v>
      </c>
      <c r="I174" s="3">
        <v>-34354.896999999997</v>
      </c>
      <c r="J174" s="3">
        <v>-24121.359</v>
      </c>
    </row>
    <row r="175" spans="1:11">
      <c r="A175" s="2" t="s">
        <v>96</v>
      </c>
      <c r="B175" s="1" t="s">
        <v>76</v>
      </c>
      <c r="C175" s="3">
        <v>-34452.78</v>
      </c>
      <c r="D175" s="3">
        <v>-24282.037</v>
      </c>
      <c r="H175" s="1" t="s">
        <v>12</v>
      </c>
      <c r="I175" s="3">
        <v>-34376.498</v>
      </c>
      <c r="J175" s="3">
        <v>-24172.21</v>
      </c>
    </row>
    <row r="176" spans="1:11">
      <c r="A176" s="2" t="s">
        <v>96</v>
      </c>
      <c r="B176" s="1" t="s">
        <v>25</v>
      </c>
      <c r="C176" s="3">
        <v>-34472.402999999998</v>
      </c>
      <c r="D176" s="3">
        <v>-24328.023000000001</v>
      </c>
      <c r="H176" s="1" t="s">
        <v>11</v>
      </c>
      <c r="I176" s="3">
        <v>-34382.542999999998</v>
      </c>
      <c r="J176" s="3">
        <v>-24189.837</v>
      </c>
    </row>
    <row r="177" spans="1:10">
      <c r="A177" s="2" t="s">
        <v>96</v>
      </c>
      <c r="B177" s="1" t="s">
        <v>24</v>
      </c>
      <c r="C177" s="3">
        <v>-34492.025999999998</v>
      </c>
      <c r="D177" s="3">
        <v>-24374.01</v>
      </c>
      <c r="H177" s="1" t="s">
        <v>10</v>
      </c>
      <c r="I177" s="3">
        <v>-34388.614999999998</v>
      </c>
      <c r="J177" s="3">
        <v>-24203.566999999999</v>
      </c>
    </row>
    <row r="178" spans="1:10">
      <c r="A178" s="2" t="s">
        <v>96</v>
      </c>
      <c r="B178" s="1" t="s">
        <v>23</v>
      </c>
      <c r="C178" s="3">
        <v>-34511.648999999998</v>
      </c>
      <c r="D178" s="3">
        <v>-24419.996999999999</v>
      </c>
      <c r="H178" s="1" t="s">
        <v>9</v>
      </c>
      <c r="I178" s="3">
        <v>-34393.606</v>
      </c>
      <c r="J178" s="3">
        <v>-24212.485000000001</v>
      </c>
    </row>
    <row r="179" spans="1:10">
      <c r="A179" s="2" t="s">
        <v>96</v>
      </c>
      <c r="B179" s="1" t="s">
        <v>22</v>
      </c>
      <c r="C179" s="3">
        <v>-34535.197</v>
      </c>
      <c r="D179" s="3">
        <v>-24475.181</v>
      </c>
      <c r="H179" s="1" t="s">
        <v>8</v>
      </c>
      <c r="I179" s="3">
        <v>-34424.940999999999</v>
      </c>
      <c r="J179" s="3">
        <v>-24286.256000000001</v>
      </c>
    </row>
    <row r="180" spans="1:10">
      <c r="A180" s="2" t="s">
        <v>96</v>
      </c>
      <c r="B180" s="1" t="s">
        <v>21</v>
      </c>
      <c r="C180" s="3">
        <v>-34556.731</v>
      </c>
      <c r="D180" s="3">
        <v>-24525.647000000001</v>
      </c>
      <c r="H180" s="1" t="s">
        <v>7</v>
      </c>
      <c r="I180" s="3">
        <v>-34435.142</v>
      </c>
      <c r="J180" s="3">
        <v>-24310.183000000001</v>
      </c>
    </row>
    <row r="181" spans="1:10">
      <c r="A181" s="2" t="s">
        <v>96</v>
      </c>
      <c r="B181" s="1" t="s">
        <v>20</v>
      </c>
      <c r="C181" s="3">
        <v>-34574.165999999997</v>
      </c>
      <c r="D181" s="3">
        <v>-24566.503000000001</v>
      </c>
      <c r="H181" s="1" t="s">
        <v>6</v>
      </c>
      <c r="I181" s="3">
        <v>-34454.764999999999</v>
      </c>
      <c r="J181" s="3">
        <v>-24356.17</v>
      </c>
    </row>
    <row r="182" spans="1:10">
      <c r="A182" s="2" t="s">
        <v>96</v>
      </c>
      <c r="B182" s="1" t="s">
        <v>19</v>
      </c>
      <c r="C182" s="3">
        <v>-34597.713000000003</v>
      </c>
      <c r="D182" s="3">
        <v>-24621.687999999998</v>
      </c>
      <c r="H182" s="1" t="s">
        <v>5</v>
      </c>
      <c r="I182" s="3">
        <v>-34474.387999999999</v>
      </c>
      <c r="J182" s="3">
        <v>-24402.155999999999</v>
      </c>
    </row>
    <row r="183" spans="1:10">
      <c r="A183" s="2" t="s">
        <v>96</v>
      </c>
      <c r="B183" s="1" t="s">
        <v>18</v>
      </c>
      <c r="C183" s="3">
        <v>-34626.387000000002</v>
      </c>
      <c r="D183" s="3">
        <v>-24688.894</v>
      </c>
      <c r="H183" s="1" t="s">
        <v>4</v>
      </c>
      <c r="I183" s="3">
        <v>-34494.010999999999</v>
      </c>
      <c r="J183" s="3">
        <v>-24448.143</v>
      </c>
    </row>
    <row r="184" spans="1:10">
      <c r="A184" s="2" t="s">
        <v>96</v>
      </c>
      <c r="B184" s="1" t="s">
        <v>17</v>
      </c>
      <c r="C184" s="3">
        <v>-34644.203000000001</v>
      </c>
      <c r="D184" s="3">
        <v>-24730.643</v>
      </c>
      <c r="H184" s="1" t="s">
        <v>3</v>
      </c>
      <c r="I184" s="3">
        <v>-34513.633999999998</v>
      </c>
      <c r="J184" s="3">
        <v>-24494.13</v>
      </c>
    </row>
    <row r="185" spans="1:10">
      <c r="A185" s="2" t="s">
        <v>96</v>
      </c>
      <c r="B185" s="1" t="s">
        <v>16</v>
      </c>
      <c r="C185" s="3">
        <v>-34661.050000000003</v>
      </c>
      <c r="D185" s="3">
        <v>-24770.121999999999</v>
      </c>
      <c r="H185" s="1" t="s">
        <v>2</v>
      </c>
      <c r="I185" s="3">
        <v>-34533.256999999998</v>
      </c>
      <c r="J185" s="3">
        <v>-24540.116999999998</v>
      </c>
    </row>
    <row r="186" spans="1:10">
      <c r="A186" s="2" t="s">
        <v>96</v>
      </c>
      <c r="B186" s="1" t="s">
        <v>15</v>
      </c>
      <c r="C186" s="3">
        <v>-34676.171000000002</v>
      </c>
      <c r="D186" s="3">
        <v>-24805.65</v>
      </c>
      <c r="H186" s="1" t="s">
        <v>1</v>
      </c>
      <c r="I186" s="3">
        <v>-34549.072999999997</v>
      </c>
      <c r="J186" s="3">
        <v>-24577.177</v>
      </c>
    </row>
    <row r="187" spans="1:10">
      <c r="A187" s="2" t="s">
        <v>96</v>
      </c>
      <c r="B187" s="1" t="s">
        <v>14</v>
      </c>
      <c r="C187" s="3">
        <v>-34695.737999999998</v>
      </c>
      <c r="D187" s="3">
        <v>-24851.66</v>
      </c>
      <c r="H187" s="1" t="s">
        <v>0</v>
      </c>
      <c r="I187" s="3">
        <v>-34572.622000000003</v>
      </c>
      <c r="J187" s="3">
        <v>-24632.362000000001</v>
      </c>
    </row>
    <row r="188" spans="1:10">
      <c r="A188" s="2" t="s">
        <v>96</v>
      </c>
      <c r="B188" s="1" t="s">
        <v>40</v>
      </c>
      <c r="C188" s="3">
        <v>-34715.305</v>
      </c>
      <c r="D188" s="3">
        <v>-24897.670999999998</v>
      </c>
      <c r="H188" s="1" t="s">
        <v>61</v>
      </c>
      <c r="I188" s="3">
        <v>-34601.296999999999</v>
      </c>
      <c r="J188" s="3">
        <v>-24699.565999999999</v>
      </c>
    </row>
    <row r="189" spans="1:10">
      <c r="A189" s="2" t="s">
        <v>96</v>
      </c>
      <c r="B189" s="1" t="s">
        <v>41</v>
      </c>
      <c r="C189" s="3">
        <v>-34734.873</v>
      </c>
      <c r="D189" s="3">
        <v>-24943.682000000001</v>
      </c>
      <c r="H189" s="1" t="s">
        <v>62</v>
      </c>
      <c r="I189" s="3">
        <v>-34619.112000000001</v>
      </c>
      <c r="J189" s="3">
        <v>-24741.316999999999</v>
      </c>
    </row>
    <row r="190" spans="1:10">
      <c r="A190" s="2" t="s">
        <v>96</v>
      </c>
      <c r="H190" s="1" t="s">
        <v>63</v>
      </c>
      <c r="I190" s="3">
        <v>-34636.254999999997</v>
      </c>
      <c r="J190" s="3">
        <v>-24781.489000000001</v>
      </c>
    </row>
    <row r="191" spans="1:10">
      <c r="A191" s="2" t="s">
        <v>96</v>
      </c>
      <c r="H191" s="1" t="s">
        <v>64</v>
      </c>
      <c r="I191" s="3">
        <v>-34651.074000000001</v>
      </c>
      <c r="J191" s="3">
        <v>-24816.326000000001</v>
      </c>
    </row>
    <row r="192" spans="1:10">
      <c r="A192" s="2" t="s">
        <v>96</v>
      </c>
      <c r="H192" s="1" t="s">
        <v>65</v>
      </c>
      <c r="I192" s="3">
        <v>-34670.641000000003</v>
      </c>
      <c r="J192" s="3">
        <v>-24862.335999999999</v>
      </c>
    </row>
    <row r="193" spans="1:10">
      <c r="A193" s="2" t="s">
        <v>96</v>
      </c>
      <c r="H193" s="1" t="s">
        <v>66</v>
      </c>
      <c r="I193" s="3">
        <v>-34690.21</v>
      </c>
      <c r="J193" s="3">
        <v>-24908.346000000001</v>
      </c>
    </row>
    <row r="194" spans="1:10">
      <c r="A194" s="2" t="s">
        <v>96</v>
      </c>
      <c r="H194" s="1" t="s">
        <v>67</v>
      </c>
      <c r="I194" s="3">
        <v>-34709.777000000002</v>
      </c>
      <c r="J194" s="3">
        <v>-24954.357</v>
      </c>
    </row>
    <row r="196" spans="1:10">
      <c r="A196" s="2" t="s">
        <v>98</v>
      </c>
      <c r="B196" s="1" t="s">
        <v>80</v>
      </c>
      <c r="C196" s="3">
        <v>-34754.44</v>
      </c>
      <c r="D196" s="3">
        <v>-24989.691999999999</v>
      </c>
      <c r="H196" s="1" t="s">
        <v>13</v>
      </c>
      <c r="I196" s="3">
        <v>-34729.343999999997</v>
      </c>
      <c r="J196" s="3">
        <v>-25000.366999999998</v>
      </c>
    </row>
    <row r="197" spans="1:10">
      <c r="A197" s="2" t="s">
        <v>98</v>
      </c>
      <c r="B197" s="1" t="s">
        <v>76</v>
      </c>
      <c r="C197" s="3">
        <v>-34774.006999999998</v>
      </c>
      <c r="D197" s="3">
        <v>-25035.702000000001</v>
      </c>
      <c r="H197" s="1" t="s">
        <v>12</v>
      </c>
      <c r="I197" s="3">
        <v>-34748.911999999997</v>
      </c>
      <c r="J197" s="3">
        <v>-25046.377</v>
      </c>
    </row>
    <row r="198" spans="1:10">
      <c r="A198" s="2" t="s">
        <v>98</v>
      </c>
      <c r="B198" s="1" t="s">
        <v>25</v>
      </c>
      <c r="C198" s="3">
        <v>-34793.574999999997</v>
      </c>
      <c r="D198" s="3">
        <v>-25081.712</v>
      </c>
      <c r="H198" s="1" t="s">
        <v>11</v>
      </c>
      <c r="I198" s="3">
        <v>-34768.478999999999</v>
      </c>
      <c r="J198" s="3">
        <v>-25092.386999999999</v>
      </c>
    </row>
    <row r="199" spans="1:10">
      <c r="A199" s="2" t="s">
        <v>98</v>
      </c>
      <c r="B199" s="1" t="s">
        <v>24</v>
      </c>
      <c r="C199" s="3">
        <v>-34813.142</v>
      </c>
      <c r="D199" s="3">
        <v>-25127.723000000002</v>
      </c>
      <c r="H199" s="1" t="s">
        <v>10</v>
      </c>
      <c r="I199" s="3">
        <v>-34788.046999999999</v>
      </c>
      <c r="J199" s="3">
        <v>-25138.399000000001</v>
      </c>
    </row>
    <row r="200" spans="1:10">
      <c r="A200" s="2" t="s">
        <v>98</v>
      </c>
      <c r="B200" s="1" t="s">
        <v>23</v>
      </c>
      <c r="C200" s="3">
        <v>-34832.711000000003</v>
      </c>
      <c r="D200" s="3">
        <v>-25173.733</v>
      </c>
      <c r="H200" s="1" t="s">
        <v>9</v>
      </c>
      <c r="I200" s="3">
        <v>-34807.614000000001</v>
      </c>
      <c r="J200" s="3">
        <v>-25184.409</v>
      </c>
    </row>
    <row r="201" spans="1:10">
      <c r="A201" s="2" t="s">
        <v>98</v>
      </c>
      <c r="B201" s="1" t="s">
        <v>22</v>
      </c>
      <c r="C201" s="3">
        <v>-34852.277000000002</v>
      </c>
      <c r="D201" s="3">
        <v>-25219.742999999999</v>
      </c>
      <c r="H201" s="1" t="s">
        <v>8</v>
      </c>
      <c r="I201" s="3">
        <v>-34827.180999999997</v>
      </c>
      <c r="J201" s="3">
        <v>-25230.419000000002</v>
      </c>
    </row>
    <row r="202" spans="1:10">
      <c r="A202" s="2" t="s">
        <v>98</v>
      </c>
      <c r="B202" s="1" t="s">
        <v>21</v>
      </c>
      <c r="C202" s="3">
        <v>-34871.845999999998</v>
      </c>
      <c r="D202" s="3">
        <v>-25265.764999999999</v>
      </c>
      <c r="H202" s="1" t="s">
        <v>7</v>
      </c>
      <c r="I202" s="3">
        <v>-34846.75</v>
      </c>
      <c r="J202" s="3">
        <v>-25276.429</v>
      </c>
    </row>
    <row r="203" spans="1:10">
      <c r="A203" s="2" t="s">
        <v>98</v>
      </c>
      <c r="B203" s="1" t="s">
        <v>20</v>
      </c>
      <c r="C203" s="3">
        <v>-34891.413</v>
      </c>
      <c r="D203" s="3">
        <v>-25311.775000000001</v>
      </c>
      <c r="H203" s="1" t="s">
        <v>6</v>
      </c>
      <c r="I203" s="3">
        <v>-34866.317000000003</v>
      </c>
      <c r="J203" s="3">
        <v>-25322.44</v>
      </c>
    </row>
    <row r="204" spans="1:10">
      <c r="A204" s="2" t="s">
        <v>98</v>
      </c>
      <c r="B204" s="1" t="s">
        <v>19</v>
      </c>
      <c r="C204" s="3">
        <v>-34910.980000000003</v>
      </c>
      <c r="D204" s="3">
        <v>-25357.775000000001</v>
      </c>
      <c r="H204" s="1" t="s">
        <v>5</v>
      </c>
      <c r="I204" s="3">
        <v>-34885.885000000002</v>
      </c>
      <c r="J204" s="3">
        <v>-25368.45</v>
      </c>
    </row>
    <row r="205" spans="1:10">
      <c r="A205" s="2" t="s">
        <v>98</v>
      </c>
      <c r="B205" s="1" t="s">
        <v>18</v>
      </c>
      <c r="C205" s="3">
        <v>-34930.546999999999</v>
      </c>
      <c r="D205" s="3">
        <v>-25403.786</v>
      </c>
      <c r="H205" s="1" t="s">
        <v>4</v>
      </c>
      <c r="I205" s="3">
        <v>-34905.451999999997</v>
      </c>
      <c r="J205" s="3">
        <v>-25414.460999999999</v>
      </c>
    </row>
    <row r="206" spans="1:10">
      <c r="A206" s="2" t="s">
        <v>98</v>
      </c>
      <c r="B206" s="1" t="s">
        <v>17</v>
      </c>
      <c r="C206" s="3">
        <v>-34945.877999999997</v>
      </c>
      <c r="D206" s="3">
        <v>-25439.832999999999</v>
      </c>
      <c r="H206" s="1" t="s">
        <v>3</v>
      </c>
      <c r="I206" s="3">
        <v>-34920.783000000003</v>
      </c>
      <c r="J206" s="3">
        <v>-25450.507000000001</v>
      </c>
    </row>
    <row r="207" spans="1:10">
      <c r="A207" s="2" t="s">
        <v>98</v>
      </c>
      <c r="B207" s="1" t="s">
        <v>16</v>
      </c>
      <c r="C207" s="3">
        <v>-34973.595999999998</v>
      </c>
      <c r="D207" s="3">
        <v>-25505.01</v>
      </c>
      <c r="H207" s="1" t="s">
        <v>2</v>
      </c>
      <c r="I207" s="3">
        <v>-34948.5</v>
      </c>
      <c r="J207" s="3">
        <v>-25515.685000000001</v>
      </c>
    </row>
    <row r="208" spans="1:10">
      <c r="A208" s="2" t="s">
        <v>98</v>
      </c>
      <c r="B208" s="1" t="s">
        <v>15</v>
      </c>
      <c r="C208" s="3">
        <v>-34999.921000000002</v>
      </c>
      <c r="D208" s="3">
        <v>-25566.918000000001</v>
      </c>
      <c r="H208" s="1" t="s">
        <v>1</v>
      </c>
      <c r="I208" s="3">
        <v>-34959.881999999998</v>
      </c>
      <c r="J208" s="3">
        <v>-25542.451000000001</v>
      </c>
    </row>
    <row r="209" spans="1:10">
      <c r="A209" s="2" t="s">
        <v>98</v>
      </c>
      <c r="B209" s="1" t="s">
        <v>14</v>
      </c>
      <c r="C209" s="3">
        <v>-35003.877999999997</v>
      </c>
      <c r="D209" s="3">
        <v>-25614.776999999998</v>
      </c>
      <c r="H209" s="1" t="s">
        <v>0</v>
      </c>
      <c r="I209" s="3">
        <v>-34970.175999999999</v>
      </c>
      <c r="J209" s="3">
        <v>-25580.333999999999</v>
      </c>
    </row>
    <row r="210" spans="1:10">
      <c r="A210" s="2" t="s">
        <v>98</v>
      </c>
      <c r="B210" s="1" t="s">
        <v>40</v>
      </c>
      <c r="C210" s="3">
        <v>-35007.999000000003</v>
      </c>
      <c r="D210" s="3">
        <v>-25664.621999999999</v>
      </c>
      <c r="H210" s="1" t="s">
        <v>61</v>
      </c>
      <c r="I210" s="3">
        <v>-34975.870000000003</v>
      </c>
      <c r="J210" s="3">
        <v>-25606.972000000002</v>
      </c>
    </row>
    <row r="211" spans="1:10">
      <c r="A211" s="2" t="s">
        <v>98</v>
      </c>
      <c r="B211" s="1" t="s">
        <v>41</v>
      </c>
      <c r="C211" s="3">
        <v>-35012.122000000003</v>
      </c>
      <c r="D211" s="3">
        <v>-25714.465</v>
      </c>
      <c r="H211" s="1" t="s">
        <v>62</v>
      </c>
      <c r="I211" s="3">
        <v>-34976.754000000001</v>
      </c>
      <c r="J211" s="3">
        <v>-25617.681</v>
      </c>
    </row>
    <row r="212" spans="1:10">
      <c r="A212" s="2" t="s">
        <v>98</v>
      </c>
      <c r="B212" s="1" t="s">
        <v>47</v>
      </c>
      <c r="C212" s="3">
        <v>-35015.535000000003</v>
      </c>
      <c r="D212" s="3">
        <v>-25755.746999999999</v>
      </c>
      <c r="H212" s="1" t="s">
        <v>63</v>
      </c>
      <c r="I212" s="3">
        <v>-34980.877</v>
      </c>
      <c r="J212" s="3">
        <v>-25667.526999999998</v>
      </c>
    </row>
    <row r="213" spans="1:10">
      <c r="A213" s="2" t="s">
        <v>98</v>
      </c>
      <c r="B213" s="1" t="s">
        <v>48</v>
      </c>
      <c r="C213" s="3">
        <v>-35019.027999999998</v>
      </c>
      <c r="D213" s="3">
        <v>-25797.989000000001</v>
      </c>
      <c r="H213" s="1" t="s">
        <v>64</v>
      </c>
      <c r="I213" s="3">
        <v>-34984.998</v>
      </c>
      <c r="J213" s="3">
        <v>-25717.370999999999</v>
      </c>
    </row>
    <row r="214" spans="1:10">
      <c r="A214" s="2" t="s">
        <v>98</v>
      </c>
      <c r="B214" s="1" t="s">
        <v>49</v>
      </c>
      <c r="C214" s="3">
        <v>-35021.065999999999</v>
      </c>
      <c r="D214" s="3">
        <v>-25797.481</v>
      </c>
      <c r="H214" s="1" t="s">
        <v>65</v>
      </c>
      <c r="I214" s="3">
        <v>-34989.281000000003</v>
      </c>
      <c r="J214" s="3">
        <v>-25769.177</v>
      </c>
    </row>
    <row r="215" spans="1:10">
      <c r="A215" s="2" t="s">
        <v>98</v>
      </c>
      <c r="B215" s="1" t="s">
        <v>50</v>
      </c>
      <c r="C215" s="3">
        <v>-35022.502999999997</v>
      </c>
      <c r="D215" s="3">
        <v>-25814.885999999999</v>
      </c>
      <c r="H215" s="1" t="s">
        <v>66</v>
      </c>
      <c r="I215" s="3">
        <v>-34992.116999999998</v>
      </c>
      <c r="J215" s="3">
        <v>-25803.454000000002</v>
      </c>
    </row>
    <row r="216" spans="1:10">
      <c r="A216" s="2" t="s">
        <v>98</v>
      </c>
      <c r="B216" s="1" t="s">
        <v>51</v>
      </c>
      <c r="C216" s="3">
        <v>-35025.243999999999</v>
      </c>
      <c r="D216" s="3">
        <v>-25834.726999999999</v>
      </c>
      <c r="H216" s="1" t="s">
        <v>67</v>
      </c>
      <c r="I216" s="3">
        <v>-34996.076000000001</v>
      </c>
      <c r="J216" s="3">
        <v>-25851.347000000002</v>
      </c>
    </row>
    <row r="217" spans="1:10">
      <c r="A217" s="2" t="s">
        <v>98</v>
      </c>
      <c r="B217" s="1" t="s">
        <v>52</v>
      </c>
      <c r="C217" s="3">
        <v>-35026.889000000003</v>
      </c>
      <c r="D217" s="3">
        <v>-25854.659</v>
      </c>
      <c r="H217" s="1" t="s">
        <v>68</v>
      </c>
      <c r="I217" s="3">
        <v>-35000.197</v>
      </c>
      <c r="J217" s="3">
        <v>-25901.177</v>
      </c>
    </row>
    <row r="218" spans="1:10">
      <c r="A218" s="2" t="s">
        <v>98</v>
      </c>
      <c r="B218" s="1" t="s">
        <v>53</v>
      </c>
      <c r="C218" s="3">
        <v>-35026.839</v>
      </c>
      <c r="D218" s="3">
        <v>-25874.731</v>
      </c>
    </row>
    <row r="219" spans="1:10">
      <c r="A219" s="2" t="s">
        <v>98</v>
      </c>
      <c r="B219" s="1" t="s">
        <v>54</v>
      </c>
      <c r="C219" s="3">
        <v>-35027.675000000003</v>
      </c>
      <c r="D219" s="3">
        <v>-25885.510999999999</v>
      </c>
    </row>
    <row r="220" spans="1:10">
      <c r="A220" s="2" t="s">
        <v>98</v>
      </c>
      <c r="B220" s="1" t="s">
        <v>55</v>
      </c>
      <c r="C220" s="3">
        <v>-35026.269999999997</v>
      </c>
      <c r="D220" s="3">
        <v>-25885.569</v>
      </c>
    </row>
    <row r="221" spans="1:10">
      <c r="A221" s="2" t="s">
        <v>98</v>
      </c>
      <c r="B221" s="1" t="s">
        <v>56</v>
      </c>
      <c r="C221" s="3">
        <v>-35027.415000000001</v>
      </c>
      <c r="D221" s="3">
        <v>-25899.41</v>
      </c>
    </row>
    <row r="222" spans="1:10">
      <c r="A222" s="2" t="s">
        <v>98</v>
      </c>
      <c r="B222" s="1" t="s">
        <v>57</v>
      </c>
      <c r="C222" s="3">
        <v>-35028.631000000001</v>
      </c>
      <c r="D222" s="3">
        <v>-25914.129000000001</v>
      </c>
    </row>
    <row r="223" spans="1:10">
      <c r="A223" s="2" t="s">
        <v>98</v>
      </c>
      <c r="B223" s="1" t="s">
        <v>58</v>
      </c>
      <c r="C223" s="3">
        <v>-35029.900999999998</v>
      </c>
      <c r="D223" s="3">
        <v>-25914.237000000001</v>
      </c>
    </row>
    <row r="225" spans="1:10">
      <c r="A225" s="2" t="s">
        <v>99</v>
      </c>
      <c r="B225" s="1" t="s">
        <v>80</v>
      </c>
      <c r="C225" s="3">
        <v>-35031.476000000002</v>
      </c>
      <c r="D225" s="3">
        <v>-25934.553</v>
      </c>
      <c r="H225" s="1" t="s">
        <v>77</v>
      </c>
      <c r="I225" s="3">
        <v>-35004.317000000003</v>
      </c>
      <c r="J225" s="3">
        <v>-25951.008000000002</v>
      </c>
    </row>
    <row r="226" spans="1:10">
      <c r="A226" s="2" t="s">
        <v>99</v>
      </c>
      <c r="B226" s="1" t="s">
        <v>76</v>
      </c>
      <c r="C226" s="3">
        <v>-35037.508000000002</v>
      </c>
      <c r="D226" s="3">
        <v>-26014.327000000001</v>
      </c>
      <c r="H226" s="1" t="s">
        <v>12</v>
      </c>
      <c r="I226" s="3">
        <v>-35008.438000000002</v>
      </c>
      <c r="J226" s="3">
        <v>-26000.838</v>
      </c>
    </row>
    <row r="227" spans="1:10">
      <c r="A227" s="2" t="s">
        <v>99</v>
      </c>
      <c r="B227" s="1" t="s">
        <v>25</v>
      </c>
      <c r="C227" s="3">
        <v>-35042.688000000002</v>
      </c>
      <c r="D227" s="3">
        <v>-26084.127</v>
      </c>
      <c r="H227" s="1" t="s">
        <v>11</v>
      </c>
      <c r="I227" s="3">
        <v>-35012.557999999997</v>
      </c>
      <c r="J227" s="3">
        <v>-26050.668000000001</v>
      </c>
    </row>
    <row r="228" spans="1:10">
      <c r="A228" s="2" t="s">
        <v>99</v>
      </c>
      <c r="B228" s="1" t="s">
        <v>24</v>
      </c>
      <c r="C228" s="3">
        <v>-35043.896000000001</v>
      </c>
      <c r="D228" s="3">
        <v>-26098.731</v>
      </c>
      <c r="H228" s="1" t="s">
        <v>10</v>
      </c>
      <c r="I228" s="3">
        <v>-35016.678999999996</v>
      </c>
      <c r="J228" s="3">
        <v>-26100.498</v>
      </c>
    </row>
    <row r="229" spans="1:10">
      <c r="A229" s="2" t="s">
        <v>99</v>
      </c>
      <c r="B229" s="1" t="s">
        <v>23</v>
      </c>
      <c r="C229" s="3">
        <v>-35048.017</v>
      </c>
      <c r="D229" s="3">
        <v>-26148.561000000002</v>
      </c>
      <c r="H229" s="1" t="s">
        <v>9</v>
      </c>
      <c r="I229" s="3">
        <v>-35021.493999999999</v>
      </c>
      <c r="J229" s="3">
        <v>-26158.734</v>
      </c>
    </row>
    <row r="230" spans="1:10">
      <c r="A230" s="2" t="s">
        <v>99</v>
      </c>
      <c r="B230" s="1" t="s">
        <v>22</v>
      </c>
      <c r="C230" s="3">
        <v>-35052.137999999999</v>
      </c>
      <c r="D230" s="3">
        <v>-26198.391</v>
      </c>
      <c r="H230" s="1" t="s">
        <v>8</v>
      </c>
      <c r="I230" s="3">
        <v>-35024.92</v>
      </c>
      <c r="J230" s="3">
        <v>-26200.157999999999</v>
      </c>
    </row>
    <row r="231" spans="1:10">
      <c r="A231" s="2" t="s">
        <v>99</v>
      </c>
      <c r="B231" s="1" t="s">
        <v>21</v>
      </c>
      <c r="C231" s="3">
        <v>-35053.339999999997</v>
      </c>
      <c r="D231" s="3">
        <v>-26212.923999999999</v>
      </c>
      <c r="H231" s="1" t="s">
        <v>7</v>
      </c>
      <c r="I231" s="3">
        <v>-35029.040999999997</v>
      </c>
      <c r="J231" s="3">
        <v>-26249.99</v>
      </c>
    </row>
    <row r="232" spans="1:10">
      <c r="A232" s="2" t="s">
        <v>99</v>
      </c>
      <c r="B232" s="1" t="s">
        <v>20</v>
      </c>
      <c r="C232" s="3">
        <v>-35056.550999999999</v>
      </c>
      <c r="D232" s="3">
        <v>-26233.504000000001</v>
      </c>
      <c r="H232" s="1" t="s">
        <v>6</v>
      </c>
      <c r="I232" s="3">
        <v>-35033.161</v>
      </c>
      <c r="J232" s="3">
        <v>-26299.819</v>
      </c>
    </row>
    <row r="233" spans="1:10">
      <c r="A233" s="2" t="s">
        <v>99</v>
      </c>
      <c r="B233" s="1" t="s">
        <v>19</v>
      </c>
      <c r="C233" s="3">
        <v>-35058.195</v>
      </c>
      <c r="D233" s="3">
        <v>-26253.436000000002</v>
      </c>
      <c r="H233" s="1" t="s">
        <v>5</v>
      </c>
      <c r="I233" s="3">
        <v>-35037.281000000003</v>
      </c>
      <c r="J233" s="3">
        <v>-26349.649000000001</v>
      </c>
    </row>
    <row r="234" spans="1:10">
      <c r="A234" s="2" t="s">
        <v>99</v>
      </c>
      <c r="B234" s="1" t="s">
        <v>18</v>
      </c>
      <c r="C234" s="3">
        <v>-35058.055</v>
      </c>
      <c r="D234" s="3">
        <v>-26269.948</v>
      </c>
      <c r="H234" s="1" t="s">
        <v>4</v>
      </c>
      <c r="I234" s="3">
        <v>-35042.637999999999</v>
      </c>
      <c r="J234" s="3">
        <v>-26414.429</v>
      </c>
    </row>
    <row r="235" spans="1:10">
      <c r="A235" s="2" t="s">
        <v>99</v>
      </c>
      <c r="B235" s="1" t="s">
        <v>17</v>
      </c>
      <c r="C235" s="3">
        <v>-35060.379000000001</v>
      </c>
      <c r="D235" s="3">
        <v>-26298.050999999999</v>
      </c>
      <c r="H235" s="1" t="s">
        <v>3</v>
      </c>
      <c r="I235" s="3">
        <v>-35058.086000000003</v>
      </c>
      <c r="J235" s="3">
        <v>-26601.631000000001</v>
      </c>
    </row>
    <row r="236" spans="1:10">
      <c r="A236" s="2" t="s">
        <v>99</v>
      </c>
      <c r="B236" s="1" t="s">
        <v>16</v>
      </c>
      <c r="C236" s="3">
        <v>-35064.499000000003</v>
      </c>
      <c r="D236" s="3">
        <v>-26347.881000000001</v>
      </c>
      <c r="H236" s="1" t="s">
        <v>2</v>
      </c>
      <c r="I236" s="3">
        <v>-35058.449000000001</v>
      </c>
      <c r="J236" s="3">
        <v>-26611.634999999998</v>
      </c>
    </row>
    <row r="237" spans="1:10">
      <c r="A237" s="2" t="s">
        <v>99</v>
      </c>
      <c r="B237" s="1" t="s">
        <v>15</v>
      </c>
      <c r="C237" s="3">
        <v>-35069.856</v>
      </c>
      <c r="D237" s="3">
        <v>-26412.66</v>
      </c>
      <c r="H237" s="1" t="s">
        <v>1</v>
      </c>
      <c r="I237" s="3">
        <v>-35060.28</v>
      </c>
      <c r="J237" s="3">
        <v>-26651.681</v>
      </c>
    </row>
    <row r="238" spans="1:10">
      <c r="A238" s="2" t="s">
        <v>99</v>
      </c>
      <c r="B238" s="1" t="s">
        <v>14</v>
      </c>
      <c r="C238" s="3">
        <v>-35079.065999999999</v>
      </c>
      <c r="D238" s="3">
        <v>-26524.646000000001</v>
      </c>
      <c r="H238" s="1" t="s">
        <v>0</v>
      </c>
      <c r="I238" s="3">
        <v>-35062.586000000003</v>
      </c>
      <c r="J238" s="3">
        <v>-26701.951000000001</v>
      </c>
    </row>
    <row r="239" spans="1:10">
      <c r="A239" s="2" t="s">
        <v>99</v>
      </c>
      <c r="B239" s="1" t="s">
        <v>40</v>
      </c>
      <c r="C239" s="3">
        <v>-35083.203999999998</v>
      </c>
      <c r="D239" s="3">
        <v>-26544.373</v>
      </c>
      <c r="H239" s="1" t="s">
        <v>61</v>
      </c>
      <c r="I239" s="3">
        <v>-35066.462</v>
      </c>
      <c r="J239" s="3">
        <v>-26702.659</v>
      </c>
    </row>
    <row r="240" spans="1:10">
      <c r="A240" s="2" t="s">
        <v>99</v>
      </c>
      <c r="B240" s="1" t="s">
        <v>41</v>
      </c>
      <c r="C240" s="3">
        <v>-35085.258000000002</v>
      </c>
      <c r="D240" s="3">
        <v>-26569.288</v>
      </c>
    </row>
    <row r="241" spans="1:10">
      <c r="A241" s="2" t="s">
        <v>99</v>
      </c>
      <c r="B241" s="1" t="s">
        <v>47</v>
      </c>
      <c r="C241" s="3">
        <v>-35085.906000000003</v>
      </c>
      <c r="D241" s="3">
        <v>-26589.303</v>
      </c>
    </row>
    <row r="242" spans="1:10">
      <c r="A242" s="2" t="s">
        <v>99</v>
      </c>
      <c r="B242" s="1" t="s">
        <v>48</v>
      </c>
      <c r="C242" s="3">
        <v>-35088.546999999999</v>
      </c>
      <c r="D242" s="3">
        <v>-26609.152999999998</v>
      </c>
    </row>
    <row r="243" spans="1:10">
      <c r="A243" s="2" t="s">
        <v>99</v>
      </c>
      <c r="B243" s="1" t="s">
        <v>49</v>
      </c>
      <c r="C243" s="3">
        <v>-35090.843000000001</v>
      </c>
      <c r="D243" s="3">
        <v>-26632.113000000001</v>
      </c>
    </row>
    <row r="244" spans="1:10">
      <c r="A244" s="2" t="s">
        <v>99</v>
      </c>
      <c r="B244" s="1" t="s">
        <v>50</v>
      </c>
      <c r="C244" s="3">
        <v>-35094.44</v>
      </c>
      <c r="D244" s="3">
        <v>-26662.600999999999</v>
      </c>
    </row>
    <row r="245" spans="1:10">
      <c r="A245" s="2" t="s">
        <v>99</v>
      </c>
      <c r="B245" s="1" t="s">
        <v>51</v>
      </c>
      <c r="C245" s="3">
        <v>-35100.769999999997</v>
      </c>
      <c r="D245" s="3">
        <v>-26708.703000000001</v>
      </c>
    </row>
    <row r="247" spans="1:10">
      <c r="A247" s="2" t="s">
        <v>101</v>
      </c>
      <c r="B247" s="1" t="s">
        <v>80</v>
      </c>
      <c r="C247" s="3">
        <v>-35136.084999999999</v>
      </c>
      <c r="D247" s="3">
        <v>-27212.329000000002</v>
      </c>
      <c r="H247" s="1" t="s">
        <v>77</v>
      </c>
      <c r="I247" s="3">
        <v>-35108.445</v>
      </c>
      <c r="J247" s="3">
        <v>-27208.929</v>
      </c>
    </row>
    <row r="248" spans="1:10">
      <c r="A248" s="2" t="s">
        <v>101</v>
      </c>
      <c r="B248" s="1" t="s">
        <v>76</v>
      </c>
      <c r="C248" s="3">
        <v>-35140.338000000003</v>
      </c>
      <c r="D248" s="3">
        <v>-27212.797999999999</v>
      </c>
      <c r="H248" s="1" t="s">
        <v>12</v>
      </c>
      <c r="I248" s="3">
        <v>-35106.887999999999</v>
      </c>
      <c r="J248" s="3">
        <v>-27208.718000000001</v>
      </c>
    </row>
    <row r="249" spans="1:10">
      <c r="A249" s="2" t="s">
        <v>101</v>
      </c>
      <c r="B249" s="1" t="s">
        <v>25</v>
      </c>
      <c r="C249" s="3">
        <v>-35143.07</v>
      </c>
      <c r="D249" s="3">
        <v>-27256.866000000002</v>
      </c>
      <c r="H249" s="1" t="s">
        <v>11</v>
      </c>
      <c r="I249" s="3">
        <v>-35112.627</v>
      </c>
      <c r="J249" s="3">
        <v>-27259.378000000001</v>
      </c>
    </row>
    <row r="250" spans="1:10">
      <c r="A250" s="2" t="s">
        <v>101</v>
      </c>
      <c r="B250" s="1" t="s">
        <v>24</v>
      </c>
      <c r="C250" s="3">
        <v>-35146.182999999997</v>
      </c>
      <c r="D250" s="3">
        <v>-27306.78</v>
      </c>
      <c r="H250" s="1" t="s">
        <v>10</v>
      </c>
      <c r="I250" s="3">
        <v>-35125.014000000003</v>
      </c>
      <c r="J250" s="3">
        <v>-27408.866999999998</v>
      </c>
    </row>
    <row r="251" spans="1:10">
      <c r="A251" s="2" t="s">
        <v>101</v>
      </c>
      <c r="B251" s="1" t="s">
        <v>23</v>
      </c>
      <c r="C251" s="3">
        <v>-35149.396000000001</v>
      </c>
      <c r="D251" s="3">
        <v>-27356.685000000001</v>
      </c>
      <c r="H251" s="1" t="s">
        <v>9</v>
      </c>
      <c r="I251" s="3">
        <v>-35128.296000000002</v>
      </c>
      <c r="J251" s="3">
        <v>-27448.732</v>
      </c>
    </row>
    <row r="252" spans="1:10">
      <c r="A252" s="2" t="s">
        <v>101</v>
      </c>
      <c r="B252" s="1" t="s">
        <v>22</v>
      </c>
      <c r="C252" s="3">
        <v>-35151.224999999999</v>
      </c>
      <c r="D252" s="3">
        <v>-27394.884999999998</v>
      </c>
      <c r="F252" s="3" t="s">
        <v>100</v>
      </c>
      <c r="H252" s="1" t="s">
        <v>8</v>
      </c>
      <c r="I252" s="3">
        <v>-35131.578999999998</v>
      </c>
      <c r="J252" s="3">
        <v>-27488.598000000002</v>
      </c>
    </row>
    <row r="253" spans="1:10">
      <c r="A253" s="2" t="s">
        <v>101</v>
      </c>
      <c r="H253" s="1" t="s">
        <v>7</v>
      </c>
      <c r="I253" s="3">
        <v>-35134.862000000001</v>
      </c>
      <c r="J253" s="3">
        <v>-27528.463</v>
      </c>
    </row>
    <row r="254" spans="1:10">
      <c r="A254" s="2" t="s">
        <v>101</v>
      </c>
      <c r="B254" s="1" t="s">
        <v>20</v>
      </c>
      <c r="C254" s="3">
        <v>-35157.89</v>
      </c>
      <c r="D254" s="3">
        <v>-27446.291000000001</v>
      </c>
      <c r="F254" s="3" t="s">
        <v>100</v>
      </c>
      <c r="H254" s="1" t="s">
        <v>6</v>
      </c>
      <c r="I254" s="3">
        <v>-35138.144999999997</v>
      </c>
      <c r="J254" s="3">
        <v>-27568.328000000001</v>
      </c>
    </row>
    <row r="255" spans="1:10">
      <c r="A255" s="2" t="s">
        <v>101</v>
      </c>
      <c r="B255" s="1" t="s">
        <v>19</v>
      </c>
      <c r="C255" s="3">
        <v>-35160.779000000002</v>
      </c>
      <c r="D255" s="3">
        <v>-27486.188999999998</v>
      </c>
      <c r="H255" s="1" t="s">
        <v>5</v>
      </c>
      <c r="I255" s="3">
        <v>-35141.428</v>
      </c>
      <c r="J255" s="3">
        <v>-27608.194</v>
      </c>
    </row>
    <row r="256" spans="1:10">
      <c r="A256" s="2" t="s">
        <v>101</v>
      </c>
      <c r="B256" s="1" t="s">
        <v>18</v>
      </c>
      <c r="C256" s="3">
        <v>-35164.067000000003</v>
      </c>
      <c r="D256" s="3">
        <v>-27526.054</v>
      </c>
      <c r="H256" s="1" t="s">
        <v>4</v>
      </c>
      <c r="I256" s="3">
        <v>-35144.71</v>
      </c>
      <c r="J256" s="3">
        <v>-27648.059000000001</v>
      </c>
    </row>
    <row r="257" spans="1:10">
      <c r="A257" s="2" t="s">
        <v>101</v>
      </c>
      <c r="B257" s="1" t="s">
        <v>17</v>
      </c>
      <c r="C257" s="3">
        <v>-35167.156000000003</v>
      </c>
      <c r="D257" s="3">
        <v>-27565.936000000002</v>
      </c>
      <c r="H257" s="1" t="s">
        <v>3</v>
      </c>
      <c r="I257" s="3">
        <v>-35149.226999999999</v>
      </c>
      <c r="J257" s="3">
        <v>-27702.911</v>
      </c>
    </row>
    <row r="258" spans="1:10">
      <c r="A258" s="2" t="s">
        <v>101</v>
      </c>
      <c r="B258" s="1" t="s">
        <v>16</v>
      </c>
      <c r="C258" s="3">
        <v>-35170.243999999999</v>
      </c>
      <c r="D258" s="3">
        <v>-27605.816999999999</v>
      </c>
      <c r="H258" s="1" t="s">
        <v>2</v>
      </c>
      <c r="I258" s="3">
        <v>-35152.927000000003</v>
      </c>
      <c r="J258" s="3">
        <v>-27747.833999999999</v>
      </c>
    </row>
    <row r="259" spans="1:10">
      <c r="A259" s="2" t="s">
        <v>101</v>
      </c>
      <c r="B259" s="1" t="s">
        <v>15</v>
      </c>
      <c r="C259" s="3">
        <v>-35174.131000000001</v>
      </c>
      <c r="D259" s="3">
        <v>-27645.632000000001</v>
      </c>
      <c r="H259" s="1" t="s">
        <v>1</v>
      </c>
      <c r="I259" s="3">
        <v>-35156.233999999997</v>
      </c>
      <c r="J259" s="3">
        <v>-27788</v>
      </c>
    </row>
    <row r="260" spans="1:10">
      <c r="A260" s="2" t="s">
        <v>101</v>
      </c>
      <c r="B260" s="1" t="s">
        <v>14</v>
      </c>
      <c r="C260" s="3">
        <v>-35178.356</v>
      </c>
      <c r="D260" s="3">
        <v>-27700.508000000002</v>
      </c>
      <c r="H260" s="1" t="s">
        <v>0</v>
      </c>
      <c r="I260" s="3">
        <v>-35159.358</v>
      </c>
      <c r="J260" s="3">
        <v>-27825.927</v>
      </c>
    </row>
    <row r="261" spans="1:10">
      <c r="A261" s="2" t="s">
        <v>101</v>
      </c>
      <c r="B261" s="1" t="s">
        <v>40</v>
      </c>
      <c r="C261" s="3">
        <v>-35182.262999999999</v>
      </c>
      <c r="D261" s="3">
        <v>-27745.17</v>
      </c>
      <c r="H261" s="1" t="s">
        <v>61</v>
      </c>
      <c r="I261" s="3">
        <v>-35162.917000000001</v>
      </c>
      <c r="J261" s="3">
        <v>-27869.143</v>
      </c>
    </row>
    <row r="262" spans="1:10">
      <c r="A262" s="2" t="s">
        <v>101</v>
      </c>
      <c r="B262" s="1" t="s">
        <v>41</v>
      </c>
      <c r="C262" s="3">
        <v>-35186.324999999997</v>
      </c>
      <c r="D262" s="3">
        <v>-27784.623</v>
      </c>
    </row>
    <row r="263" spans="1:10">
      <c r="A263" s="2" t="s">
        <v>101</v>
      </c>
      <c r="B263" s="1" t="s">
        <v>47</v>
      </c>
      <c r="C263" s="3">
        <v>-35191.101000000002</v>
      </c>
      <c r="D263" s="3">
        <v>-27821.339</v>
      </c>
    </row>
    <row r="264" spans="1:10">
      <c r="A264" s="2" t="s">
        <v>101</v>
      </c>
      <c r="B264" s="1" t="s">
        <v>48</v>
      </c>
      <c r="C264" s="3">
        <v>-35198.150999999998</v>
      </c>
      <c r="D264" s="3">
        <v>-27862.512999999999</v>
      </c>
    </row>
    <row r="266" spans="1:10">
      <c r="A266" s="2" t="s">
        <v>155</v>
      </c>
      <c r="B266" s="1" t="s">
        <v>80</v>
      </c>
      <c r="C266" s="3">
        <v>-35206.296000000002</v>
      </c>
      <c r="D266" s="3">
        <v>-27901.004000000001</v>
      </c>
      <c r="H266" s="1" t="s">
        <v>77</v>
      </c>
      <c r="I266" s="3">
        <v>-35166.298000000003</v>
      </c>
      <c r="J266" s="3">
        <v>-27910.202000000001</v>
      </c>
    </row>
    <row r="267" spans="1:10">
      <c r="A267" s="2" t="s">
        <v>155</v>
      </c>
      <c r="B267" s="1" t="s">
        <v>76</v>
      </c>
      <c r="C267" s="3">
        <v>-35215.972999999998</v>
      </c>
      <c r="D267" s="3">
        <v>-27939.133999999998</v>
      </c>
      <c r="H267" s="1" t="s">
        <v>12</v>
      </c>
      <c r="I267" s="3">
        <v>-35169.718000000001</v>
      </c>
      <c r="J267" s="3">
        <v>-27951.738000000001</v>
      </c>
    </row>
    <row r="268" spans="1:10">
      <c r="A268" s="2" t="s">
        <v>155</v>
      </c>
      <c r="B268" s="1" t="s">
        <v>25</v>
      </c>
      <c r="C268" s="3">
        <v>-35227.644</v>
      </c>
      <c r="D268" s="3">
        <v>-27976.694</v>
      </c>
      <c r="H268" s="1" t="s">
        <v>11</v>
      </c>
      <c r="I268" s="3">
        <v>-35173.190999999999</v>
      </c>
      <c r="J268" s="3">
        <v>-27993.897000000001</v>
      </c>
    </row>
    <row r="269" spans="1:10">
      <c r="A269" s="2" t="s">
        <v>155</v>
      </c>
      <c r="B269" s="1" t="s">
        <v>24</v>
      </c>
      <c r="C269" s="3">
        <v>-35232.54</v>
      </c>
      <c r="D269" s="3">
        <v>-27991.671999999999</v>
      </c>
      <c r="H269" s="1" t="s">
        <v>10</v>
      </c>
      <c r="I269" s="3">
        <v>-35176.305</v>
      </c>
      <c r="J269" s="3">
        <v>-28031.722000000002</v>
      </c>
    </row>
    <row r="270" spans="1:10">
      <c r="A270" s="2" t="s">
        <v>155</v>
      </c>
      <c r="B270" s="1" t="s">
        <v>23</v>
      </c>
      <c r="C270" s="3">
        <v>-35227.680999999997</v>
      </c>
      <c r="D270" s="3">
        <v>-27996.222000000002</v>
      </c>
      <c r="H270" s="1" t="s">
        <v>9</v>
      </c>
      <c r="I270" s="3">
        <v>-35214.478999999999</v>
      </c>
      <c r="J270" s="3">
        <v>-28008.58</v>
      </c>
    </row>
    <row r="271" spans="1:10">
      <c r="A271" s="2" t="s">
        <v>155</v>
      </c>
      <c r="B271" s="1" t="s">
        <v>22</v>
      </c>
      <c r="C271" s="3">
        <v>-35232.934000000001</v>
      </c>
      <c r="D271" s="3">
        <v>-28010.427</v>
      </c>
      <c r="H271" s="1" t="s">
        <v>8</v>
      </c>
      <c r="I271" s="3">
        <v>-35220.023000000001</v>
      </c>
      <c r="J271" s="3">
        <v>-28024.223000000002</v>
      </c>
    </row>
    <row r="272" spans="1:10">
      <c r="A272" s="2" t="s">
        <v>155</v>
      </c>
      <c r="B272" s="1" t="s">
        <v>21</v>
      </c>
      <c r="C272" s="3">
        <v>-35231.945</v>
      </c>
      <c r="D272" s="3">
        <v>-28015.446</v>
      </c>
      <c r="H272" s="1" t="s">
        <v>103</v>
      </c>
      <c r="I272" s="3">
        <v>-35220.273000000001</v>
      </c>
      <c r="J272" s="3">
        <v>-28024.341</v>
      </c>
    </row>
    <row r="273" spans="1:10">
      <c r="A273" s="2" t="s">
        <v>155</v>
      </c>
      <c r="B273" s="1" t="s">
        <v>20</v>
      </c>
      <c r="C273" s="3">
        <v>-35233.392</v>
      </c>
      <c r="D273" s="3">
        <v>-28019.45</v>
      </c>
      <c r="H273" s="1" t="s">
        <v>7</v>
      </c>
      <c r="I273" s="3">
        <v>-35221.697999999997</v>
      </c>
      <c r="J273" s="3">
        <v>-28028.228999999999</v>
      </c>
    </row>
    <row r="274" spans="1:10">
      <c r="A274" s="2" t="s">
        <v>155</v>
      </c>
      <c r="B274" s="1" t="s">
        <v>19</v>
      </c>
      <c r="C274" s="3">
        <v>-35239.870000000003</v>
      </c>
      <c r="D274" s="3">
        <v>-28022.187999999998</v>
      </c>
      <c r="H274" s="1" t="s">
        <v>6</v>
      </c>
      <c r="I274" s="3">
        <v>-35219.317000000003</v>
      </c>
      <c r="J274" s="3">
        <v>-28038.576000000001</v>
      </c>
    </row>
    <row r="275" spans="1:10">
      <c r="A275" s="2" t="s">
        <v>155</v>
      </c>
      <c r="B275" s="1" t="s">
        <v>18</v>
      </c>
      <c r="C275" s="3">
        <v>-35245.154000000002</v>
      </c>
      <c r="D275" s="3">
        <v>-28018.027999999998</v>
      </c>
      <c r="H275" s="1" t="s">
        <v>5</v>
      </c>
      <c r="I275" s="3">
        <v>-35211.326000000001</v>
      </c>
      <c r="J275" s="3">
        <v>-28043.834999999999</v>
      </c>
    </row>
    <row r="276" spans="1:10">
      <c r="A276" s="2" t="s">
        <v>155</v>
      </c>
      <c r="B276" s="1" t="s">
        <v>17</v>
      </c>
      <c r="C276" s="3">
        <v>-35248.595999999998</v>
      </c>
      <c r="D276" s="3">
        <v>-28022.41</v>
      </c>
      <c r="H276" s="1" t="s">
        <v>4</v>
      </c>
      <c r="I276" s="3">
        <v>-35214.322999999997</v>
      </c>
      <c r="J276" s="3">
        <v>-28048.39</v>
      </c>
    </row>
    <row r="277" spans="1:10">
      <c r="A277" s="2" t="s">
        <v>155</v>
      </c>
      <c r="B277" s="1" t="s">
        <v>16</v>
      </c>
      <c r="C277" s="3">
        <v>-35248.36</v>
      </c>
      <c r="D277" s="3">
        <v>-28022.595000000001</v>
      </c>
      <c r="H277" s="1" t="s">
        <v>104</v>
      </c>
      <c r="I277" s="3">
        <v>-35214.574000000001</v>
      </c>
      <c r="J277" s="3">
        <v>-28048.224999999999</v>
      </c>
    </row>
    <row r="278" spans="1:10">
      <c r="A278" s="2" t="s">
        <v>155</v>
      </c>
      <c r="B278" s="1" t="s">
        <v>15</v>
      </c>
      <c r="C278" s="3">
        <v>-35259.055999999997</v>
      </c>
      <c r="D278" s="3">
        <v>-28047.879000000001</v>
      </c>
      <c r="H278" s="1" t="s">
        <v>105</v>
      </c>
      <c r="I278" s="3">
        <v>-35227.483</v>
      </c>
      <c r="J278" s="3">
        <v>-28082.723999999998</v>
      </c>
    </row>
    <row r="279" spans="1:10">
      <c r="A279" s="2" t="s">
        <v>155</v>
      </c>
      <c r="B279" s="1" t="s">
        <v>14</v>
      </c>
      <c r="C279" s="3">
        <v>-35275.561999999998</v>
      </c>
      <c r="D279" s="3">
        <v>-28083.311000000002</v>
      </c>
      <c r="H279" s="1" t="s">
        <v>2</v>
      </c>
      <c r="I279" s="3">
        <v>-35243.250999999997</v>
      </c>
      <c r="J279" s="3">
        <v>-28120.382000000001</v>
      </c>
    </row>
    <row r="280" spans="1:10">
      <c r="A280" s="2" t="s">
        <v>155</v>
      </c>
      <c r="B280" s="1" t="s">
        <v>40</v>
      </c>
      <c r="C280" s="3">
        <v>-35294.061999999998</v>
      </c>
      <c r="D280" s="3">
        <v>-28120.363000000001</v>
      </c>
      <c r="H280" s="1" t="s">
        <v>1</v>
      </c>
      <c r="I280" s="3">
        <v>-35256.559999999998</v>
      </c>
      <c r="J280" s="3">
        <v>-28148.554</v>
      </c>
    </row>
    <row r="281" spans="1:10">
      <c r="A281" s="2" t="s">
        <v>155</v>
      </c>
      <c r="B281" s="1" t="s">
        <v>41</v>
      </c>
      <c r="C281" s="3">
        <v>-35298.864999999998</v>
      </c>
      <c r="D281" s="3">
        <v>-28117.957999999999</v>
      </c>
      <c r="H281" s="1" t="s">
        <v>0</v>
      </c>
      <c r="I281" s="3">
        <v>-35251.902000000002</v>
      </c>
      <c r="J281" s="3">
        <v>-28150.907999999999</v>
      </c>
    </row>
    <row r="282" spans="1:10">
      <c r="A282" s="2" t="s">
        <v>155</v>
      </c>
      <c r="B282" s="1" t="s">
        <v>47</v>
      </c>
      <c r="C282" s="3">
        <v>-35312.478999999999</v>
      </c>
      <c r="D282" s="3">
        <v>-28142.688999999998</v>
      </c>
      <c r="H282" s="1" t="s">
        <v>61</v>
      </c>
      <c r="I282" s="3">
        <v>-35260.775000000001</v>
      </c>
      <c r="J282" s="3">
        <v>-28169.565999999999</v>
      </c>
    </row>
    <row r="283" spans="1:10">
      <c r="A283" s="2" t="s">
        <v>155</v>
      </c>
      <c r="B283" s="1" t="s">
        <v>48</v>
      </c>
      <c r="C283" s="3">
        <v>-35312.656000000003</v>
      </c>
      <c r="D283" s="3">
        <v>-28158.771000000001</v>
      </c>
      <c r="H283" s="1" t="s">
        <v>62</v>
      </c>
      <c r="I283" s="3">
        <v>-35273.951000000001</v>
      </c>
      <c r="J283" s="3">
        <v>-28178.63</v>
      </c>
    </row>
    <row r="284" spans="1:10">
      <c r="A284" s="2" t="s">
        <v>155</v>
      </c>
      <c r="B284" s="1" t="s">
        <v>49</v>
      </c>
      <c r="C284" s="3">
        <v>-35301.550999999999</v>
      </c>
      <c r="D284" s="3">
        <v>-28170.186000000002</v>
      </c>
      <c r="H284" s="1" t="s">
        <v>63</v>
      </c>
      <c r="I284" s="3">
        <v>-35289.692999999999</v>
      </c>
      <c r="J284" s="3">
        <v>-28175.85</v>
      </c>
    </row>
    <row r="285" spans="1:10">
      <c r="A285" s="2" t="s">
        <v>155</v>
      </c>
      <c r="B285" s="1" t="s">
        <v>102</v>
      </c>
      <c r="C285" s="3">
        <v>-35301.430999999997</v>
      </c>
      <c r="D285" s="3">
        <v>-28170.23</v>
      </c>
      <c r="H285" s="1" t="s">
        <v>64</v>
      </c>
      <c r="I285" s="3">
        <v>-35292.364999999998</v>
      </c>
      <c r="J285" s="3">
        <v>-28180.883000000002</v>
      </c>
    </row>
    <row r="286" spans="1:10">
      <c r="A286" s="2" t="s">
        <v>155</v>
      </c>
      <c r="B286" s="1" t="s">
        <v>50</v>
      </c>
      <c r="C286" s="3">
        <v>-35303.819000000003</v>
      </c>
      <c r="D286" s="3">
        <v>-28174.733</v>
      </c>
      <c r="H286" s="1" t="s">
        <v>65</v>
      </c>
      <c r="I286" s="3">
        <v>-35276.771000000001</v>
      </c>
      <c r="J286" s="3">
        <v>-28189.256000000001</v>
      </c>
    </row>
    <row r="287" spans="1:10">
      <c r="A287" s="2" t="s">
        <v>155</v>
      </c>
      <c r="B287" s="1" t="s">
        <v>51</v>
      </c>
      <c r="C287" s="3">
        <v>-35319.324000000001</v>
      </c>
      <c r="D287" s="3">
        <v>-28166.405999999999</v>
      </c>
      <c r="H287" s="1" t="s">
        <v>66</v>
      </c>
      <c r="I287" s="3">
        <v>-35287.063999999998</v>
      </c>
      <c r="J287" s="3">
        <v>-28208.423999999999</v>
      </c>
    </row>
    <row r="288" spans="1:10">
      <c r="A288" s="2" t="s">
        <v>155</v>
      </c>
      <c r="B288" s="1" t="s">
        <v>52</v>
      </c>
      <c r="C288" s="3">
        <v>-35329.616999999998</v>
      </c>
      <c r="D288" s="3">
        <v>-28185.574000000001</v>
      </c>
      <c r="H288" s="1" t="s">
        <v>67</v>
      </c>
      <c r="I288" s="3">
        <v>-35302.392999999996</v>
      </c>
      <c r="J288" s="3">
        <v>-28200.191999999999</v>
      </c>
    </row>
    <row r="289" spans="1:10">
      <c r="A289" s="2" t="s">
        <v>155</v>
      </c>
      <c r="B289" s="1" t="s">
        <v>53</v>
      </c>
      <c r="C289" s="3">
        <v>-35314.286999999997</v>
      </c>
      <c r="D289" s="3">
        <v>-28193.806</v>
      </c>
      <c r="H289" s="1" t="s">
        <v>68</v>
      </c>
      <c r="I289" s="3">
        <v>-35306.531999999999</v>
      </c>
      <c r="J289" s="3">
        <v>-28207.899000000001</v>
      </c>
    </row>
    <row r="290" spans="1:10">
      <c r="A290" s="2" t="s">
        <v>155</v>
      </c>
      <c r="B290" s="1" t="s">
        <v>54</v>
      </c>
      <c r="C290" s="3">
        <v>-35318.425000000003</v>
      </c>
      <c r="D290" s="3">
        <v>-28201.512999999999</v>
      </c>
      <c r="H290" s="1" t="s">
        <v>69</v>
      </c>
      <c r="I290" s="3">
        <v>-35306.752</v>
      </c>
      <c r="J290" s="3">
        <v>-28207.780999999999</v>
      </c>
    </row>
    <row r="291" spans="1:10">
      <c r="A291" s="2" t="s">
        <v>155</v>
      </c>
      <c r="B291" s="1" t="s">
        <v>55</v>
      </c>
      <c r="C291" s="3">
        <v>-35318.205000000002</v>
      </c>
      <c r="D291" s="3">
        <v>-28201.631000000001</v>
      </c>
      <c r="H291" s="1" t="s">
        <v>70</v>
      </c>
      <c r="I291" s="3">
        <v>-35320.707999999999</v>
      </c>
      <c r="J291" s="3">
        <v>-28233.771000000001</v>
      </c>
    </row>
    <row r="292" spans="1:10">
      <c r="A292" s="2" t="s">
        <v>155</v>
      </c>
      <c r="B292" s="1" t="s">
        <v>56</v>
      </c>
      <c r="C292" s="3">
        <v>-35332.161</v>
      </c>
      <c r="D292" s="3">
        <v>-28227.620999999999</v>
      </c>
      <c r="H292" s="1" t="s">
        <v>71</v>
      </c>
      <c r="I292" s="3">
        <v>-35320.487999999998</v>
      </c>
      <c r="J292" s="3">
        <v>-28233.888999999999</v>
      </c>
    </row>
    <row r="293" spans="1:10">
      <c r="A293" s="2" t="s">
        <v>155</v>
      </c>
      <c r="B293" s="1" t="s">
        <v>57</v>
      </c>
      <c r="C293" s="3">
        <v>-35332.381000000001</v>
      </c>
      <c r="D293" s="3">
        <v>-28227.503000000001</v>
      </c>
      <c r="H293" s="1" t="s">
        <v>72</v>
      </c>
      <c r="I293" s="3">
        <v>-35325.455000000002</v>
      </c>
      <c r="J293" s="3">
        <v>-28243.14</v>
      </c>
    </row>
    <row r="294" spans="1:10">
      <c r="A294" s="2" t="s">
        <v>155</v>
      </c>
      <c r="B294" s="1" t="s">
        <v>58</v>
      </c>
      <c r="C294" s="3">
        <v>-35337.339999999997</v>
      </c>
      <c r="D294" s="3">
        <v>-28236.753000000001</v>
      </c>
      <c r="H294" s="1" t="s">
        <v>73</v>
      </c>
      <c r="I294" s="3">
        <v>-35325.675000000003</v>
      </c>
      <c r="J294" s="3">
        <v>-28243.022000000001</v>
      </c>
    </row>
    <row r="295" spans="1:10">
      <c r="A295" s="2" t="s">
        <v>155</v>
      </c>
      <c r="B295" s="1" t="s">
        <v>59</v>
      </c>
      <c r="C295" s="3">
        <v>-35337.129000000001</v>
      </c>
      <c r="D295" s="3">
        <v>-28236.871999999999</v>
      </c>
      <c r="H295" s="1" t="s">
        <v>74</v>
      </c>
      <c r="I295" s="3">
        <v>-35341.036</v>
      </c>
      <c r="J295" s="3">
        <v>-28271.628000000001</v>
      </c>
    </row>
    <row r="296" spans="1:10">
      <c r="A296" s="2" t="s">
        <v>155</v>
      </c>
      <c r="B296" s="1" t="s">
        <v>148</v>
      </c>
      <c r="C296" s="3">
        <v>-35352.491999999998</v>
      </c>
      <c r="D296" s="3">
        <v>-28265.483</v>
      </c>
      <c r="H296" s="1" t="s">
        <v>75</v>
      </c>
      <c r="I296" s="3">
        <v>-35331.989000000001</v>
      </c>
      <c r="J296" s="3">
        <v>-28281.888999999999</v>
      </c>
    </row>
    <row r="297" spans="1:10">
      <c r="A297" s="2" t="s">
        <v>155</v>
      </c>
      <c r="B297" s="1" t="s">
        <v>106</v>
      </c>
      <c r="C297" s="3">
        <v>-35362.300999999999</v>
      </c>
      <c r="D297" s="3">
        <v>-28262.661</v>
      </c>
      <c r="H297" s="1" t="s">
        <v>89</v>
      </c>
      <c r="I297" s="3">
        <v>-35332.680999999997</v>
      </c>
      <c r="J297" s="3">
        <v>-28294.678</v>
      </c>
    </row>
    <row r="298" spans="1:10">
      <c r="A298" s="2" t="s">
        <v>155</v>
      </c>
      <c r="B298" s="1" t="s">
        <v>107</v>
      </c>
      <c r="C298" s="3">
        <v>-35371.544999999998</v>
      </c>
      <c r="D298" s="3">
        <v>-28265.378000000001</v>
      </c>
      <c r="H298" s="1" t="s">
        <v>90</v>
      </c>
      <c r="I298" s="3">
        <v>-35334.375</v>
      </c>
      <c r="J298" s="3">
        <v>-28293.768</v>
      </c>
    </row>
    <row r="299" spans="1:10">
      <c r="A299" s="2" t="s">
        <v>155</v>
      </c>
      <c r="B299" s="1" t="s">
        <v>149</v>
      </c>
      <c r="C299" s="3">
        <v>-35371.78</v>
      </c>
      <c r="D299" s="3">
        <v>-28265.190999999999</v>
      </c>
      <c r="H299" s="1" t="s">
        <v>115</v>
      </c>
      <c r="I299" s="3">
        <v>-35335.235999999997</v>
      </c>
      <c r="J299" s="3">
        <v>-28295.447</v>
      </c>
    </row>
    <row r="300" spans="1:10">
      <c r="A300" s="2" t="s">
        <v>155</v>
      </c>
      <c r="B300" s="1" t="s">
        <v>150</v>
      </c>
      <c r="C300" s="3">
        <v>-35376.777000000002</v>
      </c>
      <c r="D300" s="3">
        <v>-28271.45</v>
      </c>
      <c r="H300" s="1" t="s">
        <v>116</v>
      </c>
      <c r="I300" s="3">
        <v>-35334.991999999998</v>
      </c>
      <c r="J300" s="3">
        <v>-28295.620999999999</v>
      </c>
    </row>
    <row r="301" spans="1:10">
      <c r="A301" s="2" t="s">
        <v>155</v>
      </c>
      <c r="B301" s="1" t="s">
        <v>108</v>
      </c>
      <c r="C301" s="3">
        <v>-35369.413999999997</v>
      </c>
      <c r="D301" s="3">
        <v>-28277.329000000002</v>
      </c>
      <c r="H301" s="1" t="s">
        <v>151</v>
      </c>
      <c r="I301" s="3">
        <v>-35338.811999999998</v>
      </c>
      <c r="J301" s="3">
        <v>-28300.976999999999</v>
      </c>
    </row>
    <row r="302" spans="1:10">
      <c r="A302" s="2" t="s">
        <v>155</v>
      </c>
      <c r="B302" s="1" t="s">
        <v>109</v>
      </c>
      <c r="C302" s="3">
        <v>-35365.783000000003</v>
      </c>
      <c r="D302" s="3">
        <v>-28288.97</v>
      </c>
      <c r="H302" s="1" t="s">
        <v>117</v>
      </c>
      <c r="I302" s="3">
        <v>-35345.124000000003</v>
      </c>
      <c r="J302" s="3">
        <v>-28296.473999999998</v>
      </c>
    </row>
    <row r="303" spans="1:10">
      <c r="A303" s="2" t="s">
        <v>155</v>
      </c>
      <c r="B303" s="1" t="s">
        <v>110</v>
      </c>
      <c r="C303" s="3">
        <v>-35373.196000000004</v>
      </c>
      <c r="D303" s="3">
        <v>-28302.774000000001</v>
      </c>
      <c r="H303" s="1" t="s">
        <v>118</v>
      </c>
      <c r="I303" s="3">
        <v>-35354.661</v>
      </c>
      <c r="J303" s="3">
        <v>-28297.85</v>
      </c>
    </row>
    <row r="304" spans="1:10">
      <c r="A304" s="2" t="s">
        <v>155</v>
      </c>
      <c r="B304" s="1" t="s">
        <v>111</v>
      </c>
      <c r="C304" s="3">
        <v>-35379.302000000003</v>
      </c>
      <c r="D304" s="3">
        <v>-28298.082999999999</v>
      </c>
      <c r="H304" s="1" t="s">
        <v>119</v>
      </c>
      <c r="I304" s="3">
        <v>-35358.387000000002</v>
      </c>
      <c r="J304" s="3">
        <v>-28304.79</v>
      </c>
    </row>
    <row r="305" spans="1:10">
      <c r="A305" s="2" t="s">
        <v>155</v>
      </c>
      <c r="B305" s="1" t="s">
        <v>112</v>
      </c>
      <c r="C305" s="3">
        <v>-35388.555</v>
      </c>
      <c r="D305" s="3">
        <v>-28305.906999999999</v>
      </c>
      <c r="H305" s="1" t="s">
        <v>120</v>
      </c>
      <c r="I305" s="3">
        <v>-35355.303999999996</v>
      </c>
      <c r="J305" s="3">
        <v>-28306.445</v>
      </c>
    </row>
    <row r="306" spans="1:10">
      <c r="A306" s="2" t="s">
        <v>155</v>
      </c>
      <c r="B306" s="1" t="s">
        <v>152</v>
      </c>
      <c r="C306" s="3">
        <v>-35403.705000000002</v>
      </c>
      <c r="D306" s="3">
        <v>-28329.894</v>
      </c>
      <c r="H306" s="1" t="s">
        <v>121</v>
      </c>
      <c r="I306" s="3">
        <v>-35359.133999999998</v>
      </c>
      <c r="J306" s="3">
        <v>-28313.579000000002</v>
      </c>
    </row>
    <row r="307" spans="1:10">
      <c r="A307" s="2" t="s">
        <v>155</v>
      </c>
      <c r="B307" s="1" t="s">
        <v>113</v>
      </c>
      <c r="C307" s="3">
        <v>-35416.095000000001</v>
      </c>
      <c r="D307" s="3">
        <v>-28362.059000000001</v>
      </c>
      <c r="H307" s="1" t="s">
        <v>122</v>
      </c>
      <c r="I307" s="3">
        <v>-35339.936999999998</v>
      </c>
      <c r="J307" s="3">
        <v>-28328.328000000001</v>
      </c>
    </row>
    <row r="308" spans="1:10">
      <c r="A308" s="2" t="s">
        <v>155</v>
      </c>
      <c r="B308" s="1" t="s">
        <v>114</v>
      </c>
      <c r="C308" s="3">
        <v>-35428.616000000002</v>
      </c>
      <c r="D308" s="3">
        <v>-28386.035</v>
      </c>
      <c r="H308" s="1" t="s">
        <v>123</v>
      </c>
      <c r="I308" s="3">
        <v>-35356.264000000003</v>
      </c>
      <c r="J308" s="3">
        <v>-28353.81</v>
      </c>
    </row>
    <row r="309" spans="1:10">
      <c r="A309" s="2" t="s">
        <v>155</v>
      </c>
      <c r="B309" s="1" t="s">
        <v>124</v>
      </c>
      <c r="C309" s="3">
        <v>-35441.222999999998</v>
      </c>
      <c r="D309" s="3">
        <v>-28415.192999999999</v>
      </c>
      <c r="H309" s="1" t="s">
        <v>129</v>
      </c>
      <c r="I309" s="3">
        <v>-35360.942999999999</v>
      </c>
      <c r="J309" s="3">
        <v>-28351.721000000001</v>
      </c>
    </row>
    <row r="310" spans="1:10">
      <c r="A310" s="2" t="s">
        <v>155</v>
      </c>
      <c r="B310" s="1" t="s">
        <v>125</v>
      </c>
      <c r="C310" s="3">
        <v>-35453.192999999999</v>
      </c>
      <c r="D310" s="3">
        <v>-28440.864000000001</v>
      </c>
      <c r="H310" s="1" t="s">
        <v>130</v>
      </c>
      <c r="I310" s="3">
        <v>-35381.911</v>
      </c>
      <c r="J310" s="3">
        <v>-28381.891</v>
      </c>
    </row>
    <row r="311" spans="1:10">
      <c r="A311" s="2" t="s">
        <v>155</v>
      </c>
      <c r="B311" s="1" t="s">
        <v>126</v>
      </c>
      <c r="C311" s="3">
        <v>-35471.995000000003</v>
      </c>
      <c r="D311" s="3">
        <v>-28475.922999999999</v>
      </c>
      <c r="H311" s="1" t="s">
        <v>131</v>
      </c>
      <c r="I311" s="3">
        <v>-35402.552000000003</v>
      </c>
      <c r="J311" s="3">
        <v>-28413.144</v>
      </c>
    </row>
    <row r="312" spans="1:10">
      <c r="A312" s="2" t="s">
        <v>155</v>
      </c>
      <c r="B312" s="1" t="s">
        <v>127</v>
      </c>
      <c r="C312" s="3">
        <v>-35492.741999999998</v>
      </c>
      <c r="D312" s="3">
        <v>-28509.879000000001</v>
      </c>
      <c r="H312" s="1" t="s">
        <v>132</v>
      </c>
      <c r="I312" s="3">
        <v>-35410.938999999998</v>
      </c>
      <c r="J312" s="3">
        <v>-28423.056</v>
      </c>
    </row>
    <row r="313" spans="1:10">
      <c r="A313" s="2" t="s">
        <v>155</v>
      </c>
      <c r="B313" s="1" t="s">
        <v>128</v>
      </c>
      <c r="C313" s="3">
        <v>-35500.464</v>
      </c>
      <c r="D313" s="3">
        <v>-28528.411</v>
      </c>
      <c r="H313" s="1" t="s">
        <v>133</v>
      </c>
      <c r="I313" s="3">
        <v>-35424.078999999998</v>
      </c>
      <c r="J313" s="3">
        <v>-28445.624</v>
      </c>
    </row>
    <row r="314" spans="1:10">
      <c r="A314" s="2" t="s">
        <v>155</v>
      </c>
      <c r="B314" s="1" t="s">
        <v>140</v>
      </c>
      <c r="C314" s="3">
        <v>-35507.851000000002</v>
      </c>
      <c r="D314" s="3">
        <v>-28539.937999999998</v>
      </c>
      <c r="H314" s="1" t="s">
        <v>134</v>
      </c>
      <c r="I314" s="3">
        <v>-35424.642</v>
      </c>
      <c r="J314" s="3">
        <v>-28451.112000000001</v>
      </c>
    </row>
    <row r="315" spans="1:10">
      <c r="A315" s="2" t="s">
        <v>155</v>
      </c>
      <c r="B315" s="1" t="s">
        <v>142</v>
      </c>
      <c r="C315" s="3">
        <v>-35538.603000000003</v>
      </c>
      <c r="D315" s="3">
        <v>-28587.93</v>
      </c>
      <c r="H315" s="1" t="s">
        <v>135</v>
      </c>
      <c r="I315" s="3">
        <v>-35446.514999999999</v>
      </c>
      <c r="J315" s="3">
        <v>-28490.185000000001</v>
      </c>
    </row>
    <row r="316" spans="1:10">
      <c r="A316" s="2" t="s">
        <v>155</v>
      </c>
      <c r="B316" s="1" t="s">
        <v>144</v>
      </c>
      <c r="C316" s="3">
        <v>-35565.58</v>
      </c>
      <c r="D316" s="3">
        <v>-28630.027999999998</v>
      </c>
      <c r="H316" s="1" t="s">
        <v>136</v>
      </c>
      <c r="I316" s="3">
        <v>-35455.017999999996</v>
      </c>
      <c r="J316" s="3">
        <v>-28508.031999999999</v>
      </c>
    </row>
    <row r="317" spans="1:10">
      <c r="A317" s="2" t="s">
        <v>155</v>
      </c>
      <c r="B317" s="1" t="s">
        <v>145</v>
      </c>
      <c r="C317" s="3">
        <v>-35596.873</v>
      </c>
      <c r="D317" s="3">
        <v>-28678.862000000001</v>
      </c>
      <c r="H317" s="1" t="s">
        <v>153</v>
      </c>
      <c r="I317" s="3">
        <v>-35461.692000000003</v>
      </c>
      <c r="J317" s="3">
        <v>-28518.447</v>
      </c>
    </row>
    <row r="318" spans="1:10">
      <c r="A318" s="2" t="s">
        <v>155</v>
      </c>
      <c r="B318" s="1" t="s">
        <v>146</v>
      </c>
      <c r="C318" s="3">
        <v>-35624.928999999996</v>
      </c>
      <c r="D318" s="3">
        <v>-28722.644</v>
      </c>
      <c r="H318" s="1" t="s">
        <v>137</v>
      </c>
      <c r="I318" s="3">
        <v>-35488.667000000001</v>
      </c>
      <c r="J318" s="3">
        <v>-28560.544999999998</v>
      </c>
    </row>
    <row r="319" spans="1:10">
      <c r="A319" s="2" t="s">
        <v>155</v>
      </c>
      <c r="B319" s="1" t="s">
        <v>147</v>
      </c>
      <c r="C319" s="3">
        <v>-35648.127999999997</v>
      </c>
      <c r="D319" s="3">
        <v>-28758.848000000002</v>
      </c>
      <c r="H319" s="1" t="s">
        <v>154</v>
      </c>
      <c r="I319" s="3">
        <v>-35515.644</v>
      </c>
      <c r="J319" s="3">
        <v>-28602.644</v>
      </c>
    </row>
    <row r="320" spans="1:10">
      <c r="A320" s="2" t="s">
        <v>155</v>
      </c>
      <c r="H320" s="1" t="s">
        <v>138</v>
      </c>
      <c r="I320" s="3">
        <v>-35544.239000000001</v>
      </c>
      <c r="J320" s="3">
        <v>-28647.268</v>
      </c>
    </row>
    <row r="321" spans="1:10">
      <c r="A321" s="2" t="s">
        <v>155</v>
      </c>
      <c r="H321" s="1" t="s">
        <v>139</v>
      </c>
      <c r="I321" s="3">
        <v>-35569.597000000002</v>
      </c>
      <c r="J321" s="3">
        <v>-28686.84</v>
      </c>
    </row>
    <row r="322" spans="1:10">
      <c r="A322" s="2" t="s">
        <v>155</v>
      </c>
      <c r="H322" s="1" t="s">
        <v>141</v>
      </c>
      <c r="I322" s="3">
        <v>-35596.574000000001</v>
      </c>
      <c r="J322" s="3">
        <v>-28728.937999999998</v>
      </c>
    </row>
    <row r="323" spans="1:10">
      <c r="A323" s="2" t="s">
        <v>155</v>
      </c>
      <c r="H323" s="1" t="s">
        <v>143</v>
      </c>
      <c r="I323" s="3">
        <v>-35623.550999999999</v>
      </c>
      <c r="J323" s="3">
        <v>-28771.036</v>
      </c>
    </row>
    <row r="325" spans="1:10">
      <c r="A325" s="2" t="s">
        <v>156</v>
      </c>
      <c r="B325" s="1" t="s">
        <v>27</v>
      </c>
      <c r="C325" s="3">
        <v>-35675.105000000003</v>
      </c>
      <c r="D325" s="3">
        <v>-28800.946</v>
      </c>
      <c r="H325" s="1" t="s">
        <v>13</v>
      </c>
      <c r="I325" s="3">
        <v>-35650.527999999998</v>
      </c>
      <c r="J325" s="3">
        <v>-28813.133999999998</v>
      </c>
    </row>
    <row r="326" spans="1:10">
      <c r="A326" s="2" t="s">
        <v>156</v>
      </c>
      <c r="B326" s="1" t="s">
        <v>76</v>
      </c>
      <c r="C326" s="3">
        <v>-35702.082000000002</v>
      </c>
      <c r="D326" s="3">
        <v>-28843.044000000002</v>
      </c>
      <c r="H326" s="1" t="s">
        <v>12</v>
      </c>
      <c r="I326" s="3">
        <v>-35680.741000000002</v>
      </c>
      <c r="J326" s="3">
        <v>-28860.284</v>
      </c>
    </row>
    <row r="327" spans="1:10">
      <c r="A327" s="2" t="s">
        <v>156</v>
      </c>
      <c r="B327" s="1" t="s">
        <v>25</v>
      </c>
      <c r="C327" s="3">
        <v>-35731.756000000001</v>
      </c>
      <c r="D327" s="3">
        <v>-28889.351999999999</v>
      </c>
      <c r="H327" s="1" t="s">
        <v>11</v>
      </c>
      <c r="I327" s="3">
        <v>-35707.178999999996</v>
      </c>
      <c r="J327" s="3">
        <v>-28901.54</v>
      </c>
    </row>
    <row r="328" spans="1:10">
      <c r="A328" s="2" t="s">
        <v>156</v>
      </c>
      <c r="B328" s="1" t="s">
        <v>24</v>
      </c>
      <c r="C328" s="3">
        <v>-35758.733</v>
      </c>
      <c r="D328" s="3">
        <v>-28931.45</v>
      </c>
      <c r="H328" s="1" t="s">
        <v>10</v>
      </c>
      <c r="I328" s="3">
        <v>-35734.695</v>
      </c>
      <c r="J328" s="3">
        <v>-28944.48</v>
      </c>
    </row>
    <row r="329" spans="1:10">
      <c r="A329" s="2" t="s">
        <v>156</v>
      </c>
      <c r="B329" s="1" t="s">
        <v>23</v>
      </c>
      <c r="C329" s="3">
        <v>-35780.853999999999</v>
      </c>
      <c r="D329" s="3">
        <v>-28965.97</v>
      </c>
      <c r="H329" s="1" t="s">
        <v>9</v>
      </c>
      <c r="I329" s="3">
        <v>-35761.671999999999</v>
      </c>
      <c r="J329" s="3">
        <v>-28986.578000000001</v>
      </c>
    </row>
    <row r="330" spans="1:10">
      <c r="A330" s="2" t="s">
        <v>156</v>
      </c>
      <c r="B330" s="1" t="s">
        <v>22</v>
      </c>
      <c r="C330" s="3">
        <v>-35813.764999999999</v>
      </c>
      <c r="D330" s="3">
        <v>-29017.33</v>
      </c>
      <c r="H330" s="1" t="s">
        <v>8</v>
      </c>
      <c r="I330" s="3">
        <v>-35785.411</v>
      </c>
      <c r="J330" s="3">
        <v>-29023.623</v>
      </c>
    </row>
    <row r="331" spans="1:10">
      <c r="A331" s="2" t="s">
        <v>156</v>
      </c>
      <c r="B331" s="1" t="s">
        <v>21</v>
      </c>
      <c r="C331" s="3">
        <v>-35834.063999999998</v>
      </c>
      <c r="D331" s="3">
        <v>-29049.004000000001</v>
      </c>
      <c r="H331" s="1" t="s">
        <v>7</v>
      </c>
      <c r="I331" s="3">
        <v>-35804.175000000003</v>
      </c>
      <c r="J331" s="3">
        <v>-29052.903999999999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9689-4033-3144-BCF0-96475A887E99}">
  <dimension ref="A1:L15"/>
  <sheetViews>
    <sheetView tabSelected="1" zoomScale="125" workbookViewId="0">
      <selection activeCell="J7" sqref="J7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-34369.216</v>
      </c>
      <c r="D2" s="3">
        <v>-22925.628000000001</v>
      </c>
      <c r="E2" s="3">
        <v>44.912999999999997</v>
      </c>
      <c r="H2" s="1" t="s">
        <v>77</v>
      </c>
      <c r="I2" s="3">
        <v>-34314.273000000001</v>
      </c>
      <c r="J2" s="3">
        <v>-22906.048999999999</v>
      </c>
      <c r="K2" s="3">
        <v>12.951000000000001</v>
      </c>
    </row>
    <row r="3" spans="1:12">
      <c r="A3" s="2" t="s">
        <v>162</v>
      </c>
      <c r="B3" s="1" t="s">
        <v>76</v>
      </c>
      <c r="C3" s="3">
        <v>-34376.196000000004</v>
      </c>
      <c r="D3" s="3">
        <v>-22935.838</v>
      </c>
      <c r="E3" s="3">
        <v>55.750999999999998</v>
      </c>
      <c r="H3" s="1" t="s">
        <v>12</v>
      </c>
      <c r="I3" s="3">
        <v>-34304.497000000003</v>
      </c>
      <c r="J3" s="3">
        <v>-22932.866000000002</v>
      </c>
      <c r="K3" s="3">
        <v>9.5630000000000006</v>
      </c>
    </row>
    <row r="4" spans="1:12">
      <c r="A4" s="2" t="s">
        <v>162</v>
      </c>
      <c r="B4" s="1" t="s">
        <v>25</v>
      </c>
      <c r="C4" s="3">
        <v>-34372.525999999998</v>
      </c>
      <c r="D4" s="3">
        <v>-22946.108</v>
      </c>
      <c r="E4" s="3">
        <v>57.113999999999997</v>
      </c>
      <c r="H4" s="1" t="s">
        <v>11</v>
      </c>
      <c r="I4" s="3">
        <v>-34296.072</v>
      </c>
      <c r="J4" s="3">
        <v>-22954.6</v>
      </c>
      <c r="K4" s="3">
        <v>6.26</v>
      </c>
    </row>
    <row r="5" spans="1:12">
      <c r="A5" s="2" t="s">
        <v>162</v>
      </c>
      <c r="B5" s="1" t="s">
        <v>24</v>
      </c>
      <c r="C5" s="3">
        <v>-34372.036</v>
      </c>
      <c r="D5" s="3">
        <v>-22945.934000000001</v>
      </c>
      <c r="E5" s="3">
        <v>56.598999999999997</v>
      </c>
      <c r="H5" s="1" t="s">
        <v>10</v>
      </c>
      <c r="I5" s="3">
        <v>-34239.430999999997</v>
      </c>
      <c r="J5" s="3">
        <v>-22978.743999999999</v>
      </c>
      <c r="K5" s="3">
        <v>11.275</v>
      </c>
    </row>
    <row r="6" spans="1:12">
      <c r="A6" s="2" t="s">
        <v>162</v>
      </c>
      <c r="B6" s="1" t="s">
        <v>23</v>
      </c>
      <c r="C6" s="3">
        <v>-34330.777999999998</v>
      </c>
      <c r="D6" s="3">
        <v>-22963.521000000001</v>
      </c>
      <c r="E6" s="3">
        <v>27.745999999999999</v>
      </c>
      <c r="H6" s="1" t="s">
        <v>9</v>
      </c>
      <c r="I6" s="3">
        <v>-34200.794999999998</v>
      </c>
      <c r="J6" s="3">
        <v>-22995.214</v>
      </c>
      <c r="K6" s="3">
        <v>11.256</v>
      </c>
    </row>
    <row r="7" spans="1:12">
      <c r="A7" s="2" t="s">
        <v>162</v>
      </c>
      <c r="B7" s="1" t="s">
        <v>22</v>
      </c>
      <c r="C7" s="3">
        <v>-34289.383999999998</v>
      </c>
      <c r="D7" s="3">
        <v>-22981.167000000001</v>
      </c>
      <c r="E7" s="3">
        <v>10.643000000000001</v>
      </c>
      <c r="H7" s="1" t="s">
        <v>8</v>
      </c>
      <c r="I7" s="3">
        <v>-34154.800000000003</v>
      </c>
      <c r="J7" s="3">
        <v>-23014.821</v>
      </c>
      <c r="K7" s="3">
        <v>11.234</v>
      </c>
    </row>
    <row r="8" spans="1:12">
      <c r="A8" s="2" t="s">
        <v>162</v>
      </c>
      <c r="B8" s="1" t="s">
        <v>21</v>
      </c>
      <c r="C8" s="3">
        <v>-34247.987999999998</v>
      </c>
      <c r="D8" s="3">
        <v>-22998.813999999998</v>
      </c>
      <c r="E8" s="3">
        <v>10.542</v>
      </c>
      <c r="H8" s="1" t="s">
        <v>7</v>
      </c>
      <c r="I8" s="3">
        <v>-34113.404999999999</v>
      </c>
      <c r="J8" s="3">
        <v>-23032.467000000001</v>
      </c>
      <c r="K8" s="3">
        <v>11.214</v>
      </c>
    </row>
    <row r="9" spans="1:12">
      <c r="A9" s="2" t="s">
        <v>162</v>
      </c>
      <c r="B9" s="1" t="s">
        <v>20</v>
      </c>
      <c r="C9" s="3">
        <v>-34209.353000000003</v>
      </c>
      <c r="D9" s="3">
        <v>-23015.282999999999</v>
      </c>
      <c r="E9" s="3">
        <v>10.561</v>
      </c>
      <c r="H9" s="1" t="s">
        <v>6</v>
      </c>
      <c r="I9" s="3">
        <v>-34063.230000000003</v>
      </c>
      <c r="J9" s="3">
        <v>-23053.856</v>
      </c>
      <c r="K9" s="3">
        <v>11.189</v>
      </c>
    </row>
    <row r="10" spans="1:12">
      <c r="A10" s="2" t="s">
        <v>162</v>
      </c>
      <c r="B10" s="1" t="s">
        <v>19</v>
      </c>
      <c r="C10" s="3">
        <v>-34163.358</v>
      </c>
      <c r="D10" s="3">
        <v>-23034.89</v>
      </c>
      <c r="E10" s="3">
        <v>10.584</v>
      </c>
      <c r="H10" s="1" t="s">
        <v>5</v>
      </c>
      <c r="I10" s="3">
        <v>-34023.254999999997</v>
      </c>
      <c r="J10" s="3">
        <v>-23070.896000000001</v>
      </c>
      <c r="K10" s="3">
        <v>11.17</v>
      </c>
    </row>
    <row r="11" spans="1:12">
      <c r="A11" s="2" t="s">
        <v>162</v>
      </c>
      <c r="B11" s="1" t="s">
        <v>18</v>
      </c>
      <c r="C11" s="3">
        <v>-34121.962</v>
      </c>
      <c r="D11" s="3">
        <v>-23052.536</v>
      </c>
      <c r="E11" s="3">
        <v>10.603999999999999</v>
      </c>
      <c r="H11" s="1" t="s">
        <v>4</v>
      </c>
      <c r="I11" s="3">
        <v>-33986.459000000003</v>
      </c>
      <c r="J11" s="3">
        <v>-23086.580999999998</v>
      </c>
      <c r="K11" s="3">
        <v>11.151999999999999</v>
      </c>
    </row>
    <row r="12" spans="1:12">
      <c r="A12" s="2" t="s">
        <v>162</v>
      </c>
      <c r="B12" s="1" t="s">
        <v>17</v>
      </c>
      <c r="C12" s="3">
        <v>-34074.127999999997</v>
      </c>
      <c r="D12" s="3">
        <v>-23072.927</v>
      </c>
      <c r="E12" s="3">
        <v>10.627000000000001</v>
      </c>
      <c r="H12" s="1" t="s">
        <v>3</v>
      </c>
      <c r="I12" s="3">
        <v>-33951.167999999998</v>
      </c>
      <c r="J12" s="3">
        <v>-23101.626</v>
      </c>
      <c r="K12" s="3">
        <v>11.135</v>
      </c>
    </row>
    <row r="13" spans="1:12">
      <c r="A13" s="2" t="s">
        <v>162</v>
      </c>
      <c r="B13" s="1" t="s">
        <v>16</v>
      </c>
      <c r="C13" s="3">
        <v>-34031.813000000002</v>
      </c>
      <c r="D13" s="3">
        <v>-23090.965</v>
      </c>
      <c r="E13" s="3">
        <v>10.648</v>
      </c>
    </row>
    <row r="14" spans="1:12">
      <c r="A14" s="2" t="s">
        <v>162</v>
      </c>
      <c r="B14" s="1" t="s">
        <v>15</v>
      </c>
      <c r="C14" s="3">
        <v>-33995.017</v>
      </c>
      <c r="D14" s="3">
        <v>-23106.65</v>
      </c>
      <c r="E14" s="3">
        <v>10.664999999999999</v>
      </c>
    </row>
    <row r="15" spans="1:12">
      <c r="A15" s="2" t="s">
        <v>162</v>
      </c>
      <c r="B15" s="1" t="s">
        <v>14</v>
      </c>
      <c r="C15" s="3">
        <v>-33959.726000000002</v>
      </c>
      <c r="D15" s="3">
        <v>-23121.694</v>
      </c>
      <c r="E15" s="3">
        <v>10.682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9EA9-AB10-884D-8D5F-F5949E94017B}">
  <dimension ref="A1:L11"/>
  <sheetViews>
    <sheetView zoomScale="125" workbookViewId="0">
      <selection activeCell="F10" sqref="F10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-30956.559000000001</v>
      </c>
      <c r="D2" s="3">
        <v>-16735.537</v>
      </c>
      <c r="E2" s="3">
        <v>52.38</v>
      </c>
      <c r="F2" s="3" t="s">
        <v>163</v>
      </c>
      <c r="H2" s="1" t="s">
        <v>77</v>
      </c>
      <c r="I2" s="3">
        <v>-30995.145</v>
      </c>
      <c r="J2" s="3">
        <v>-16825.453000000001</v>
      </c>
      <c r="K2" s="3">
        <v>45.47</v>
      </c>
      <c r="L2" s="3" t="s">
        <v>163</v>
      </c>
    </row>
    <row r="3" spans="1:12">
      <c r="A3" s="2" t="s">
        <v>162</v>
      </c>
      <c r="B3" s="1" t="s">
        <v>76</v>
      </c>
      <c r="C3" s="3">
        <v>-31011.759999999998</v>
      </c>
      <c r="D3" s="3">
        <v>-16712.024000000001</v>
      </c>
      <c r="E3" s="3">
        <v>52.24</v>
      </c>
      <c r="F3" s="3" t="s">
        <v>163</v>
      </c>
      <c r="H3" s="1" t="s">
        <v>12</v>
      </c>
      <c r="I3" s="3">
        <v>-31050.346000000001</v>
      </c>
      <c r="J3" s="3">
        <v>-16801.939999999999</v>
      </c>
      <c r="K3" s="3">
        <v>45.61</v>
      </c>
      <c r="L3" s="3" t="s">
        <v>163</v>
      </c>
    </row>
    <row r="4" spans="1:12">
      <c r="A4" s="2" t="s">
        <v>162</v>
      </c>
      <c r="B4" s="1" t="s">
        <v>25</v>
      </c>
      <c r="C4" s="3">
        <v>-31028.022000000001</v>
      </c>
      <c r="D4" s="3">
        <v>-16749.924999999999</v>
      </c>
      <c r="E4" s="3">
        <v>11</v>
      </c>
      <c r="H4" s="1" t="s">
        <v>11</v>
      </c>
      <c r="I4" s="3">
        <v>-31036.697</v>
      </c>
      <c r="J4" s="3">
        <v>-16770.141</v>
      </c>
      <c r="K4" s="3">
        <v>11</v>
      </c>
    </row>
    <row r="5" spans="1:12">
      <c r="A5" s="2" t="s">
        <v>162</v>
      </c>
      <c r="B5" s="1" t="s">
        <v>24</v>
      </c>
      <c r="C5" s="3">
        <v>-31044.733</v>
      </c>
      <c r="D5" s="3">
        <v>-16742.759999999998</v>
      </c>
      <c r="E5" s="3">
        <v>11</v>
      </c>
      <c r="H5" s="1" t="s">
        <v>10</v>
      </c>
      <c r="I5" s="3">
        <v>-31053.409</v>
      </c>
      <c r="J5" s="3">
        <v>-16762.975999999999</v>
      </c>
      <c r="K5" s="3">
        <v>11</v>
      </c>
    </row>
    <row r="6" spans="1:12">
      <c r="A6" s="2" t="s">
        <v>162</v>
      </c>
      <c r="B6" s="1" t="s">
        <v>23</v>
      </c>
      <c r="C6" s="3">
        <v>-31043.339</v>
      </c>
      <c r="D6" s="3">
        <v>-16739.510999999999</v>
      </c>
      <c r="E6" s="3">
        <v>14.53</v>
      </c>
      <c r="H6" s="1" t="s">
        <v>9</v>
      </c>
      <c r="I6" s="3">
        <v>-31054.804</v>
      </c>
      <c r="J6" s="3">
        <v>-16766.225999999999</v>
      </c>
      <c r="K6" s="3">
        <v>14.54</v>
      </c>
    </row>
    <row r="7" spans="1:12">
      <c r="A7" s="2" t="s">
        <v>162</v>
      </c>
      <c r="B7" s="1" t="s">
        <v>22</v>
      </c>
      <c r="C7" s="3">
        <v>-31047.982</v>
      </c>
      <c r="D7" s="3">
        <v>-16741.366999999998</v>
      </c>
      <c r="E7" s="3">
        <v>11</v>
      </c>
      <c r="H7" s="1" t="s">
        <v>8</v>
      </c>
      <c r="I7" s="3">
        <v>-31056.659</v>
      </c>
      <c r="J7" s="3">
        <v>-16761.582999999999</v>
      </c>
      <c r="K7" s="3">
        <v>11</v>
      </c>
    </row>
    <row r="8" spans="1:12">
      <c r="A8" s="2" t="s">
        <v>162</v>
      </c>
      <c r="B8" s="1" t="s">
        <v>21</v>
      </c>
      <c r="C8" s="3">
        <v>-31104.867999999999</v>
      </c>
      <c r="D8" s="3">
        <v>-16716.975999999999</v>
      </c>
      <c r="E8" s="3">
        <v>11</v>
      </c>
      <c r="H8" s="1" t="s">
        <v>7</v>
      </c>
      <c r="I8" s="3">
        <v>-31113.558000000001</v>
      </c>
      <c r="J8" s="3">
        <v>-16737.186000000002</v>
      </c>
      <c r="K8" s="3">
        <v>11</v>
      </c>
    </row>
    <row r="9" spans="1:12">
      <c r="A9" s="2" t="s">
        <v>162</v>
      </c>
      <c r="B9" s="1" t="s">
        <v>20</v>
      </c>
      <c r="C9" s="3">
        <v>-31121.579000000002</v>
      </c>
      <c r="D9" s="3">
        <v>-16709.812000000002</v>
      </c>
      <c r="E9" s="3">
        <v>11</v>
      </c>
      <c r="H9" s="1" t="s">
        <v>6</v>
      </c>
      <c r="I9" s="3">
        <v>-31130.269</v>
      </c>
      <c r="J9" s="3">
        <v>-16730.022000000001</v>
      </c>
      <c r="K9" s="3">
        <v>11</v>
      </c>
    </row>
    <row r="10" spans="1:12">
      <c r="A10" s="2" t="s">
        <v>162</v>
      </c>
      <c r="B10" s="1" t="s">
        <v>19</v>
      </c>
      <c r="C10" s="3">
        <v>-31181.01</v>
      </c>
      <c r="D10" s="3">
        <v>-16684.339</v>
      </c>
      <c r="E10" s="3">
        <v>11</v>
      </c>
      <c r="H10" s="1" t="s">
        <v>5</v>
      </c>
      <c r="I10" s="3">
        <v>-31189.669000000002</v>
      </c>
      <c r="J10" s="3">
        <v>-16704.562000000002</v>
      </c>
      <c r="K10" s="3">
        <v>11</v>
      </c>
      <c r="L10" s="1" t="s">
        <v>165</v>
      </c>
    </row>
    <row r="11" spans="1:12">
      <c r="A11" s="2" t="s">
        <v>162</v>
      </c>
      <c r="B11" s="1" t="s">
        <v>18</v>
      </c>
      <c r="C11" s="3">
        <v>-31181.392</v>
      </c>
      <c r="D11" s="3">
        <v>-16683.377</v>
      </c>
      <c r="E11" s="3">
        <v>11.73</v>
      </c>
      <c r="H11" s="1" t="s">
        <v>4</v>
      </c>
      <c r="I11" s="3">
        <v>-31194.312000000002</v>
      </c>
      <c r="J11" s="3">
        <v>-16706.418000000001</v>
      </c>
      <c r="K11" s="3">
        <v>14.54</v>
      </c>
      <c r="L11" s="1" t="s">
        <v>165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D1B1-1CE2-1444-ABC3-4BEB11327558}">
  <dimension ref="A1:L17"/>
  <sheetViews>
    <sheetView zoomScale="125" workbookViewId="0">
      <selection activeCell="H21" sqref="H21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-21066.503000000001</v>
      </c>
      <c r="D2" s="3">
        <v>-25454.927</v>
      </c>
      <c r="E2" s="3">
        <v>22.65</v>
      </c>
      <c r="H2" s="1" t="s">
        <v>77</v>
      </c>
      <c r="I2" s="3">
        <v>-21098.69</v>
      </c>
      <c r="J2" s="3">
        <v>-25460.001</v>
      </c>
      <c r="K2" s="3">
        <v>9.5</v>
      </c>
      <c r="L2" s="3"/>
    </row>
    <row r="3" spans="1:12">
      <c r="A3" s="2" t="s">
        <v>162</v>
      </c>
      <c r="B3" s="1" t="s">
        <v>76</v>
      </c>
      <c r="C3" s="3">
        <v>-21111.317999999999</v>
      </c>
      <c r="D3" s="3">
        <v>-25387.561000000002</v>
      </c>
      <c r="E3" s="3">
        <v>26.1</v>
      </c>
      <c r="H3" s="1" t="s">
        <v>12</v>
      </c>
      <c r="I3" s="3">
        <v>-21101.278999999999</v>
      </c>
      <c r="J3" s="3">
        <v>-25453.609</v>
      </c>
      <c r="K3" s="3">
        <v>9.5</v>
      </c>
      <c r="L3" s="3"/>
    </row>
    <row r="4" spans="1:12">
      <c r="A4" s="2" t="s">
        <v>162</v>
      </c>
      <c r="B4" s="1" t="s">
        <v>25</v>
      </c>
      <c r="C4" s="3">
        <v>-21148.933000000001</v>
      </c>
      <c r="D4" s="3">
        <v>-25382.398000000001</v>
      </c>
      <c r="E4" s="3">
        <v>13.83</v>
      </c>
      <c r="H4" s="1" t="s">
        <v>11</v>
      </c>
      <c r="I4" s="3">
        <v>-21104.346000000001</v>
      </c>
      <c r="J4" s="3">
        <v>-25447.434000000001</v>
      </c>
      <c r="K4" s="3">
        <v>9.5</v>
      </c>
    </row>
    <row r="5" spans="1:12">
      <c r="A5" s="2" t="s">
        <v>162</v>
      </c>
      <c r="B5" s="1" t="s">
        <v>24</v>
      </c>
      <c r="C5" s="3">
        <v>-21187.514999999999</v>
      </c>
      <c r="D5" s="3">
        <v>-25377.101999999999</v>
      </c>
      <c r="E5" s="3">
        <v>11.68</v>
      </c>
      <c r="H5" s="1" t="s">
        <v>10</v>
      </c>
      <c r="I5" s="3">
        <v>-21107.875</v>
      </c>
      <c r="J5" s="3">
        <v>-25441.51</v>
      </c>
      <c r="K5" s="3">
        <v>9.5</v>
      </c>
    </row>
    <row r="6" spans="1:12">
      <c r="A6" s="2" t="s">
        <v>162</v>
      </c>
      <c r="H6" s="1" t="s">
        <v>9</v>
      </c>
      <c r="I6" s="3">
        <v>-21111.845000000001</v>
      </c>
      <c r="J6" s="3">
        <v>-25435.871999999999</v>
      </c>
      <c r="K6" s="3">
        <v>9.5</v>
      </c>
    </row>
    <row r="7" spans="1:12">
      <c r="A7" s="2" t="s">
        <v>162</v>
      </c>
      <c r="H7" s="1" t="s">
        <v>8</v>
      </c>
      <c r="I7" s="3">
        <v>-21116.232</v>
      </c>
      <c r="J7" s="3">
        <v>-25430.552</v>
      </c>
      <c r="K7" s="3">
        <v>9.5</v>
      </c>
    </row>
    <row r="8" spans="1:12">
      <c r="A8" s="2" t="s">
        <v>162</v>
      </c>
      <c r="H8" s="1" t="s">
        <v>7</v>
      </c>
      <c r="I8" s="3">
        <v>-21121.011999999999</v>
      </c>
      <c r="J8" s="3">
        <v>-25425.581999999999</v>
      </c>
      <c r="K8" s="3">
        <v>9.5</v>
      </c>
    </row>
    <row r="9" spans="1:12">
      <c r="A9" s="2" t="s">
        <v>162</v>
      </c>
      <c r="H9" s="1" t="s">
        <v>6</v>
      </c>
      <c r="I9" s="3">
        <v>-21126.155999999999</v>
      </c>
      <c r="J9" s="3">
        <v>-25420.99</v>
      </c>
      <c r="K9" s="3">
        <v>9.5</v>
      </c>
    </row>
    <row r="10" spans="1:12">
      <c r="A10" s="2" t="s">
        <v>162</v>
      </c>
      <c r="H10" s="1" t="s">
        <v>5</v>
      </c>
      <c r="I10" s="3">
        <v>-21131.634999999998</v>
      </c>
      <c r="J10" s="3">
        <v>-25416.804</v>
      </c>
      <c r="K10" s="3">
        <v>9.5</v>
      </c>
    </row>
    <row r="11" spans="1:12">
      <c r="A11" s="2" t="s">
        <v>162</v>
      </c>
      <c r="H11" s="1" t="s">
        <v>4</v>
      </c>
      <c r="I11" s="3">
        <v>-21137.417000000001</v>
      </c>
      <c r="J11" s="3">
        <v>-25413.045999999998</v>
      </c>
      <c r="K11" s="3">
        <v>9.5</v>
      </c>
    </row>
    <row r="12" spans="1:12">
      <c r="A12" s="2" t="s">
        <v>161</v>
      </c>
      <c r="H12" s="1" t="s">
        <v>3</v>
      </c>
      <c r="I12" s="3">
        <v>-21143.468000000001</v>
      </c>
      <c r="J12" s="3">
        <v>-25409.74</v>
      </c>
      <c r="K12" s="3">
        <v>9.5</v>
      </c>
    </row>
    <row r="13" spans="1:12">
      <c r="A13" s="2" t="s">
        <v>161</v>
      </c>
      <c r="H13" s="1" t="s">
        <v>2</v>
      </c>
      <c r="I13" s="3">
        <v>-21149.753000000001</v>
      </c>
      <c r="J13" s="3">
        <v>-25406.903999999999</v>
      </c>
      <c r="K13" s="3">
        <v>9.5</v>
      </c>
    </row>
    <row r="14" spans="1:12">
      <c r="A14" s="2" t="s">
        <v>161</v>
      </c>
      <c r="H14" s="1" t="s">
        <v>1</v>
      </c>
      <c r="I14" s="3">
        <v>-21156.236000000001</v>
      </c>
      <c r="J14" s="3">
        <v>-25404.555</v>
      </c>
      <c r="K14" s="3">
        <v>9.5</v>
      </c>
    </row>
    <row r="15" spans="1:12">
      <c r="A15" s="2" t="s">
        <v>161</v>
      </c>
      <c r="H15" s="1" t="s">
        <v>0</v>
      </c>
      <c r="I15" s="3">
        <v>-21156.560000000001</v>
      </c>
      <c r="J15" s="3">
        <v>-25404.466</v>
      </c>
      <c r="K15" s="3">
        <v>9.51</v>
      </c>
    </row>
    <row r="16" spans="1:12">
      <c r="A16" s="2" t="s">
        <v>161</v>
      </c>
      <c r="H16" s="1" t="s">
        <v>61</v>
      </c>
      <c r="I16" s="3">
        <v>-21156.41</v>
      </c>
      <c r="J16" s="3">
        <v>-25403.393</v>
      </c>
      <c r="K16" s="3">
        <v>8.4499999999999993</v>
      </c>
    </row>
    <row r="17" spans="1:11">
      <c r="A17" s="2" t="s">
        <v>161</v>
      </c>
      <c r="H17" s="1" t="s">
        <v>62</v>
      </c>
      <c r="I17" s="3">
        <v>-21190.544999999998</v>
      </c>
      <c r="J17" s="3">
        <v>-25398.706999999999</v>
      </c>
      <c r="K17" s="3">
        <v>10.14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53A2-8AF1-2142-97BA-41848EB95819}">
  <dimension ref="A1:L23"/>
  <sheetViews>
    <sheetView zoomScale="125" workbookViewId="0">
      <selection activeCell="F17" sqref="F17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-25664.842000000001</v>
      </c>
      <c r="D2" s="3">
        <v>-22764.403999999999</v>
      </c>
      <c r="E2" s="3">
        <v>7.27</v>
      </c>
      <c r="H2" s="1" t="s">
        <v>77</v>
      </c>
      <c r="I2" s="3">
        <v>-25650.356</v>
      </c>
      <c r="J2" s="3">
        <v>-22765.656999999999</v>
      </c>
      <c r="K2" s="3">
        <v>7.27</v>
      </c>
      <c r="L2" s="3"/>
    </row>
    <row r="3" spans="1:12">
      <c r="A3" s="2" t="s">
        <v>162</v>
      </c>
      <c r="B3" s="1" t="s">
        <v>76</v>
      </c>
      <c r="C3" s="3">
        <v>-25670.539000000001</v>
      </c>
      <c r="D3" s="3">
        <v>-22827.867999999999</v>
      </c>
      <c r="E3" s="3">
        <v>7.27</v>
      </c>
      <c r="H3" s="1" t="s">
        <v>12</v>
      </c>
      <c r="I3" s="3">
        <v>-25656.054</v>
      </c>
      <c r="J3" s="3">
        <v>-22829.120999999999</v>
      </c>
      <c r="K3" s="3">
        <v>7.27</v>
      </c>
      <c r="L3" s="3"/>
    </row>
    <row r="4" spans="1:12">
      <c r="A4" s="2" t="s">
        <v>162</v>
      </c>
      <c r="B4" s="1" t="s">
        <v>25</v>
      </c>
      <c r="C4" s="3">
        <v>-25676.236000000001</v>
      </c>
      <c r="D4" s="3">
        <v>-22891.330999999998</v>
      </c>
      <c r="E4" s="3">
        <v>7.27</v>
      </c>
      <c r="H4" s="1" t="s">
        <v>11</v>
      </c>
      <c r="I4" s="3">
        <v>-25661.752</v>
      </c>
      <c r="J4" s="3">
        <v>-22892.583999999999</v>
      </c>
      <c r="K4" s="3">
        <v>7.27</v>
      </c>
    </row>
    <row r="5" spans="1:12">
      <c r="A5" s="2" t="s">
        <v>162</v>
      </c>
      <c r="B5" s="1" t="s">
        <v>24</v>
      </c>
      <c r="C5" s="3">
        <v>-25681.933000000001</v>
      </c>
      <c r="D5" s="3">
        <v>-22954.794999999998</v>
      </c>
      <c r="E5" s="3">
        <v>7.27</v>
      </c>
      <c r="H5" s="1" t="s">
        <v>10</v>
      </c>
      <c r="I5" s="3">
        <v>-25667.45</v>
      </c>
      <c r="J5" s="3">
        <v>-22956.047999999999</v>
      </c>
      <c r="K5" s="3">
        <v>7.27</v>
      </c>
    </row>
    <row r="6" spans="1:12">
      <c r="A6" s="2" t="s">
        <v>162</v>
      </c>
      <c r="B6" s="1" t="s">
        <v>23</v>
      </c>
      <c r="C6" s="3">
        <v>-25687.631000000001</v>
      </c>
      <c r="D6" s="3">
        <v>-23018.252</v>
      </c>
      <c r="E6" s="3">
        <v>7.3</v>
      </c>
      <c r="H6" s="1" t="s">
        <v>9</v>
      </c>
      <c r="I6" s="3">
        <v>-25673.147000000001</v>
      </c>
      <c r="J6" s="3">
        <v>-23019.519</v>
      </c>
      <c r="K6" s="3">
        <v>7.27</v>
      </c>
    </row>
    <row r="7" spans="1:12">
      <c r="A7" s="2" t="s">
        <v>162</v>
      </c>
      <c r="B7" s="1" t="s">
        <v>22</v>
      </c>
      <c r="C7" s="3">
        <v>-25689.932000000001</v>
      </c>
      <c r="D7" s="3">
        <v>-23045.447</v>
      </c>
      <c r="E7" s="3">
        <v>7.27</v>
      </c>
      <c r="H7" s="1" t="s">
        <v>8</v>
      </c>
      <c r="I7" s="3">
        <v>-25675.445</v>
      </c>
      <c r="J7" s="3">
        <v>-23046.674999999999</v>
      </c>
      <c r="K7" s="3">
        <v>7.27</v>
      </c>
    </row>
    <row r="8" spans="1:12">
      <c r="A8" s="2" t="s">
        <v>162</v>
      </c>
      <c r="B8" s="1" t="s">
        <v>21</v>
      </c>
      <c r="C8" s="3">
        <v>-25694.365000000002</v>
      </c>
      <c r="D8" s="3">
        <v>-23097.175999999999</v>
      </c>
      <c r="E8" s="3">
        <v>7.27</v>
      </c>
      <c r="H8" s="1" t="s">
        <v>7</v>
      </c>
      <c r="I8" s="3">
        <v>-25679.878000000001</v>
      </c>
      <c r="J8" s="3">
        <v>-23098.402999999998</v>
      </c>
      <c r="K8" s="3">
        <v>7.27</v>
      </c>
    </row>
    <row r="9" spans="1:12">
      <c r="A9" s="2" t="s">
        <v>162</v>
      </c>
      <c r="B9" s="1" t="s">
        <v>20</v>
      </c>
      <c r="C9" s="3">
        <v>-25698.797999999999</v>
      </c>
      <c r="D9" s="3">
        <v>-23148.903999999999</v>
      </c>
      <c r="E9" s="3">
        <v>7.27</v>
      </c>
      <c r="H9" s="1" t="s">
        <v>6</v>
      </c>
      <c r="I9" s="3">
        <v>-25684.311000000002</v>
      </c>
      <c r="J9" s="3">
        <v>-23150.132000000001</v>
      </c>
      <c r="K9" s="3">
        <v>7.27</v>
      </c>
    </row>
    <row r="10" spans="1:12">
      <c r="A10" s="2" t="s">
        <v>162</v>
      </c>
      <c r="B10" s="1" t="s">
        <v>19</v>
      </c>
      <c r="C10" s="3">
        <v>-25703.231</v>
      </c>
      <c r="D10" s="3">
        <v>-23200.633000000002</v>
      </c>
      <c r="E10" s="3">
        <v>7.27</v>
      </c>
      <c r="H10" s="1" t="s">
        <v>5</v>
      </c>
      <c r="I10" s="3">
        <v>-25688.743999999999</v>
      </c>
      <c r="J10" s="3">
        <v>-23201.861000000001</v>
      </c>
      <c r="K10" s="3">
        <v>7.27</v>
      </c>
    </row>
    <row r="11" spans="1:12">
      <c r="A11" s="2" t="s">
        <v>162</v>
      </c>
      <c r="B11" s="1" t="s">
        <v>18</v>
      </c>
      <c r="C11" s="3">
        <v>-25707.664000000001</v>
      </c>
      <c r="D11" s="3">
        <v>-23252.362000000001</v>
      </c>
      <c r="E11" s="3">
        <v>7.27</v>
      </c>
      <c r="H11" s="1" t="s">
        <v>4</v>
      </c>
      <c r="I11" s="3">
        <v>-25693.177</v>
      </c>
      <c r="J11" s="3">
        <v>-23253.59</v>
      </c>
      <c r="K11" s="3">
        <v>7.27</v>
      </c>
    </row>
    <row r="12" spans="1:12">
      <c r="A12" s="2" t="s">
        <v>161</v>
      </c>
      <c r="B12" s="1" t="s">
        <v>17</v>
      </c>
      <c r="C12" s="3">
        <v>-25712.097000000002</v>
      </c>
      <c r="D12" s="3">
        <v>-23304.091</v>
      </c>
      <c r="E12" s="3">
        <v>7.27</v>
      </c>
      <c r="H12" s="1" t="s">
        <v>3</v>
      </c>
      <c r="I12" s="3">
        <v>-25697.61</v>
      </c>
      <c r="J12" s="3">
        <v>-23305.319</v>
      </c>
      <c r="K12" s="3">
        <v>7.27</v>
      </c>
    </row>
    <row r="13" spans="1:12">
      <c r="A13" s="2" t="s">
        <v>161</v>
      </c>
      <c r="B13" s="1" t="s">
        <v>16</v>
      </c>
      <c r="C13" s="3">
        <v>-25716.53</v>
      </c>
      <c r="D13" s="3">
        <v>-23355.819</v>
      </c>
      <c r="E13" s="3">
        <v>7.27</v>
      </c>
      <c r="H13" s="1" t="s">
        <v>2</v>
      </c>
      <c r="I13" s="3">
        <v>-25702.043000000001</v>
      </c>
      <c r="J13" s="3">
        <v>-23357.046999999999</v>
      </c>
      <c r="K13" s="3">
        <v>7.27</v>
      </c>
    </row>
    <row r="14" spans="1:12">
      <c r="A14" s="2" t="s">
        <v>161</v>
      </c>
      <c r="B14" s="1" t="s">
        <v>15</v>
      </c>
      <c r="C14" s="3">
        <v>-25720.963</v>
      </c>
      <c r="D14" s="3">
        <v>-23407.547999999999</v>
      </c>
      <c r="E14" s="3">
        <v>7.27</v>
      </c>
      <c r="H14" s="1" t="s">
        <v>1</v>
      </c>
      <c r="I14" s="3">
        <v>-25706.476999999999</v>
      </c>
      <c r="J14" s="3">
        <v>-23408.776000000002</v>
      </c>
      <c r="K14" s="3">
        <v>7.27</v>
      </c>
    </row>
    <row r="15" spans="1:12">
      <c r="A15" s="2" t="s">
        <v>161</v>
      </c>
      <c r="B15" s="1" t="s">
        <v>14</v>
      </c>
      <c r="C15" s="3">
        <v>-25725.397000000001</v>
      </c>
      <c r="D15" s="3">
        <v>-23459.276999999998</v>
      </c>
      <c r="E15" s="3">
        <v>7.27</v>
      </c>
      <c r="H15" s="1" t="s">
        <v>0</v>
      </c>
      <c r="I15" s="3">
        <v>-25710.91</v>
      </c>
      <c r="J15" s="3">
        <v>-23460.505000000001</v>
      </c>
      <c r="K15" s="3">
        <v>7.27</v>
      </c>
    </row>
    <row r="16" spans="1:12">
      <c r="A16" s="2" t="s">
        <v>161</v>
      </c>
      <c r="B16" s="1" t="s">
        <v>40</v>
      </c>
      <c r="C16" s="3">
        <v>-25729.83</v>
      </c>
      <c r="D16" s="3">
        <v>-23511.005000000001</v>
      </c>
      <c r="E16" s="3">
        <v>7.27</v>
      </c>
      <c r="H16" s="1" t="s">
        <v>61</v>
      </c>
      <c r="I16" s="3">
        <v>-25715.343000000001</v>
      </c>
      <c r="J16" s="3">
        <v>-23512.233</v>
      </c>
      <c r="K16" s="3">
        <v>7.27</v>
      </c>
    </row>
    <row r="17" spans="1:11">
      <c r="A17" s="2" t="s">
        <v>161</v>
      </c>
      <c r="B17" s="1" t="s">
        <v>41</v>
      </c>
      <c r="C17" s="3">
        <v>-25734.155999999999</v>
      </c>
      <c r="D17" s="3">
        <v>-23561.458999999999</v>
      </c>
      <c r="E17" s="3">
        <v>10.050000000000001</v>
      </c>
      <c r="F17" s="3" t="s">
        <v>167</v>
      </c>
      <c r="H17" s="1" t="s">
        <v>62</v>
      </c>
      <c r="I17" s="3">
        <v>-25720.912</v>
      </c>
      <c r="J17" s="3">
        <v>-23577.195</v>
      </c>
      <c r="K17" s="3">
        <v>10.284000000000001</v>
      </c>
    </row>
    <row r="18" spans="1:11">
      <c r="A18" s="2" t="s">
        <v>161</v>
      </c>
      <c r="H18" s="1" t="s">
        <v>166</v>
      </c>
      <c r="I18" s="3">
        <v>-25720.947</v>
      </c>
      <c r="J18" s="3">
        <v>-23579.458999999999</v>
      </c>
      <c r="K18" s="3">
        <v>6.75</v>
      </c>
    </row>
    <row r="19" spans="1:11">
      <c r="A19" s="2" t="s">
        <v>161</v>
      </c>
      <c r="B19" s="1" t="s">
        <v>48</v>
      </c>
      <c r="C19" s="3">
        <v>-25855.007000000001</v>
      </c>
      <c r="D19" s="3">
        <v>-23551.034</v>
      </c>
      <c r="E19" s="3">
        <v>10.050000000000001</v>
      </c>
      <c r="F19" s="3" t="s">
        <v>167</v>
      </c>
      <c r="H19" s="1" t="s">
        <v>64</v>
      </c>
      <c r="I19" s="3">
        <v>-25760.879000000001</v>
      </c>
      <c r="J19" s="3">
        <v>-23576.013999999999</v>
      </c>
      <c r="K19" s="3">
        <v>6.75</v>
      </c>
    </row>
    <row r="20" spans="1:11">
      <c r="A20" s="2" t="s">
        <v>161</v>
      </c>
      <c r="B20" s="1" t="s">
        <v>49</v>
      </c>
      <c r="C20" s="3">
        <v>-25915.436000000002</v>
      </c>
      <c r="D20" s="3">
        <v>-23545.82</v>
      </c>
      <c r="E20" s="3">
        <v>10.050000000000001</v>
      </c>
      <c r="H20" s="1" t="s">
        <v>65</v>
      </c>
      <c r="I20" s="3">
        <v>-25800.731</v>
      </c>
      <c r="J20" s="3">
        <v>-23572.576000000001</v>
      </c>
      <c r="K20" s="3">
        <v>6.75</v>
      </c>
    </row>
    <row r="21" spans="1:11">
      <c r="A21" s="2" t="s">
        <v>161</v>
      </c>
      <c r="H21" s="1" t="s">
        <v>66</v>
      </c>
      <c r="I21" s="3">
        <v>-25842.576000000001</v>
      </c>
      <c r="J21" s="3">
        <v>-23568.966</v>
      </c>
      <c r="K21" s="3">
        <v>6.75</v>
      </c>
    </row>
    <row r="22" spans="1:11">
      <c r="A22" s="2" t="s">
        <v>161</v>
      </c>
      <c r="H22" s="1" t="s">
        <v>67</v>
      </c>
      <c r="I22" s="3">
        <v>-25880.435000000001</v>
      </c>
      <c r="J22" s="3">
        <v>-23565.7</v>
      </c>
      <c r="K22" s="3">
        <v>6.75</v>
      </c>
    </row>
    <row r="23" spans="1:11">
      <c r="A23" s="2" t="s">
        <v>161</v>
      </c>
      <c r="H23" s="1" t="s">
        <v>68</v>
      </c>
      <c r="I23" s="3">
        <v>-25916.591</v>
      </c>
      <c r="J23" s="3">
        <v>-23562.580999999998</v>
      </c>
      <c r="K23" s="3">
        <v>6.75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0E46-3DF1-F14B-9946-8B856050B41C}">
  <dimension ref="A1:L24"/>
  <sheetViews>
    <sheetView topLeftCell="A5" zoomScale="125" workbookViewId="0">
      <selection activeCell="F12" sqref="F12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L2" s="3"/>
    </row>
    <row r="3" spans="1:12">
      <c r="A3" s="2" t="s">
        <v>162</v>
      </c>
      <c r="B3" s="1" t="s">
        <v>76</v>
      </c>
      <c r="C3" s="3">
        <v>-20610.807000000001</v>
      </c>
      <c r="D3" s="3">
        <v>-17519.03</v>
      </c>
      <c r="E3" s="3">
        <v>8</v>
      </c>
      <c r="F3" s="3" t="s">
        <v>168</v>
      </c>
      <c r="L3" s="3"/>
    </row>
    <row r="4" spans="1:12">
      <c r="A4" s="2" t="s">
        <v>162</v>
      </c>
      <c r="B4" s="1" t="s">
        <v>25</v>
      </c>
      <c r="C4" s="3">
        <v>-20659.037</v>
      </c>
      <c r="D4" s="3">
        <v>-17533.371999999999</v>
      </c>
      <c r="E4" s="3">
        <v>8</v>
      </c>
    </row>
    <row r="5" spans="1:12">
      <c r="A5" s="2" t="s">
        <v>162</v>
      </c>
      <c r="B5" s="1" t="s">
        <v>24</v>
      </c>
      <c r="C5" s="3">
        <v>-20697.377</v>
      </c>
      <c r="D5" s="3">
        <v>-17544.773000000001</v>
      </c>
      <c r="E5" s="3">
        <v>8</v>
      </c>
      <c r="H5" s="1" t="s">
        <v>10</v>
      </c>
      <c r="I5" s="3">
        <v>-20604.226999999999</v>
      </c>
      <c r="J5" s="3">
        <v>-17533.760999999999</v>
      </c>
      <c r="K5" s="3">
        <v>8</v>
      </c>
      <c r="L5" s="1" t="s">
        <v>170</v>
      </c>
    </row>
    <row r="6" spans="1:12">
      <c r="A6" s="2" t="s">
        <v>162</v>
      </c>
      <c r="B6" s="1" t="s">
        <v>23</v>
      </c>
      <c r="C6" s="3">
        <v>-20774.065999999999</v>
      </c>
      <c r="D6" s="3">
        <v>-17567.575000000001</v>
      </c>
      <c r="E6" s="3">
        <v>8</v>
      </c>
      <c r="H6" s="1" t="s">
        <v>9</v>
      </c>
      <c r="I6" s="3">
        <v>-20654.475999999999</v>
      </c>
      <c r="J6" s="3">
        <v>-17548.702000000001</v>
      </c>
      <c r="K6" s="3">
        <v>8</v>
      </c>
    </row>
    <row r="7" spans="1:12">
      <c r="A7" s="2" t="s">
        <v>162</v>
      </c>
      <c r="B7" s="1" t="s">
        <v>22</v>
      </c>
      <c r="C7" s="3">
        <v>-20820.745999999999</v>
      </c>
      <c r="D7" s="3">
        <v>-17581.455999999998</v>
      </c>
      <c r="E7" s="3">
        <v>8</v>
      </c>
      <c r="H7" s="1" t="s">
        <v>8</v>
      </c>
      <c r="I7" s="3">
        <v>-20692.815999999999</v>
      </c>
      <c r="J7" s="3">
        <v>-17560.102999999999</v>
      </c>
      <c r="K7" s="3">
        <v>8</v>
      </c>
    </row>
    <row r="8" spans="1:12">
      <c r="A8" s="2" t="s">
        <v>162</v>
      </c>
      <c r="B8" s="1" t="s">
        <v>21</v>
      </c>
      <c r="C8" s="3">
        <v>-20825.065999999999</v>
      </c>
      <c r="D8" s="3">
        <v>-17578.036</v>
      </c>
      <c r="E8" s="3">
        <v>12.51</v>
      </c>
      <c r="H8" s="1" t="s">
        <v>7</v>
      </c>
      <c r="I8" s="3">
        <v>-20731.166000000001</v>
      </c>
      <c r="J8" s="3">
        <v>-17571.504000000001</v>
      </c>
      <c r="K8" s="3">
        <v>8</v>
      </c>
      <c r="L8" s="3" t="s">
        <v>174</v>
      </c>
    </row>
    <row r="9" spans="1:12">
      <c r="A9" s="2" t="s">
        <v>162</v>
      </c>
      <c r="B9" s="1" t="s">
        <v>20</v>
      </c>
      <c r="C9" s="3">
        <v>-20832.045999999998</v>
      </c>
      <c r="D9" s="3">
        <v>-17580.106</v>
      </c>
      <c r="E9" s="3">
        <v>12.51</v>
      </c>
    </row>
    <row r="10" spans="1:12">
      <c r="A10" s="2" t="s">
        <v>162</v>
      </c>
      <c r="B10" s="1" t="s">
        <v>19</v>
      </c>
      <c r="C10" s="3">
        <v>-20830.876</v>
      </c>
      <c r="D10" s="3">
        <v>-17584.466</v>
      </c>
      <c r="E10" s="3">
        <v>8</v>
      </c>
      <c r="H10" s="1" t="s">
        <v>5</v>
      </c>
      <c r="I10" s="3">
        <v>-20807.845000000001</v>
      </c>
      <c r="J10" s="3">
        <v>-17594.306</v>
      </c>
      <c r="K10" s="3">
        <v>8</v>
      </c>
      <c r="L10" s="3" t="s">
        <v>174</v>
      </c>
    </row>
    <row r="11" spans="1:12">
      <c r="A11" s="2" t="s">
        <v>162</v>
      </c>
      <c r="B11" s="1" t="s">
        <v>18</v>
      </c>
      <c r="C11" s="3">
        <v>-20850.065999999999</v>
      </c>
      <c r="D11" s="3">
        <v>-17590.167000000001</v>
      </c>
      <c r="E11" s="3">
        <v>8</v>
      </c>
      <c r="H11" s="1" t="s">
        <v>4</v>
      </c>
      <c r="I11" s="3">
        <v>-20843.084999999999</v>
      </c>
      <c r="J11" s="3">
        <v>-17604.787</v>
      </c>
      <c r="K11" s="3">
        <v>8</v>
      </c>
    </row>
    <row r="12" spans="1:12">
      <c r="A12" s="2" t="s">
        <v>161</v>
      </c>
      <c r="B12" s="1" t="s">
        <v>17</v>
      </c>
      <c r="C12" s="3">
        <v>-20869.215</v>
      </c>
      <c r="D12" s="3">
        <v>-17603.338</v>
      </c>
      <c r="E12" s="3">
        <v>8</v>
      </c>
      <c r="H12" s="1" t="s">
        <v>3</v>
      </c>
      <c r="I12" s="3">
        <v>-20893.093000000001</v>
      </c>
      <c r="J12" s="3">
        <v>-17639.188999999998</v>
      </c>
      <c r="K12" s="3">
        <v>8</v>
      </c>
    </row>
    <row r="13" spans="1:12">
      <c r="A13" s="2" t="s">
        <v>161</v>
      </c>
      <c r="B13" s="1" t="s">
        <v>16</v>
      </c>
      <c r="C13" s="3">
        <v>-20935.123</v>
      </c>
      <c r="D13" s="3">
        <v>-17648.68</v>
      </c>
      <c r="E13" s="3">
        <v>8</v>
      </c>
      <c r="H13" s="1" t="s">
        <v>2</v>
      </c>
      <c r="I13" s="3">
        <v>-20926.052</v>
      </c>
      <c r="J13" s="3">
        <v>-17661.861000000001</v>
      </c>
      <c r="K13" s="3">
        <v>8</v>
      </c>
    </row>
    <row r="14" spans="1:12">
      <c r="A14" s="2" t="s">
        <v>161</v>
      </c>
      <c r="B14" s="1" t="s">
        <v>15</v>
      </c>
      <c r="C14" s="3">
        <v>-20968.072</v>
      </c>
      <c r="D14" s="3">
        <v>-17671.351999999999</v>
      </c>
      <c r="E14" s="3">
        <v>8</v>
      </c>
      <c r="H14" s="1" t="s">
        <v>1</v>
      </c>
      <c r="I14" s="3">
        <v>-20959.010999999999</v>
      </c>
      <c r="J14" s="3">
        <v>-17684.531999999999</v>
      </c>
      <c r="K14" s="3">
        <v>8</v>
      </c>
    </row>
    <row r="15" spans="1:12">
      <c r="A15" s="2" t="s">
        <v>161</v>
      </c>
      <c r="B15" s="1" t="s">
        <v>14</v>
      </c>
      <c r="C15" s="3">
        <v>-21001.030999999999</v>
      </c>
      <c r="D15" s="3">
        <v>-17694.023000000001</v>
      </c>
      <c r="E15" s="3">
        <v>8</v>
      </c>
      <c r="H15" s="1" t="s">
        <v>0</v>
      </c>
      <c r="I15" s="3">
        <v>-20991.96</v>
      </c>
      <c r="J15" s="3">
        <v>-17707.203000000001</v>
      </c>
      <c r="K15" s="3">
        <v>8</v>
      </c>
    </row>
    <row r="16" spans="1:12">
      <c r="A16" s="2" t="s">
        <v>161</v>
      </c>
      <c r="B16" s="1" t="s">
        <v>40</v>
      </c>
      <c r="C16" s="3">
        <v>-21033.991000000002</v>
      </c>
      <c r="D16" s="3">
        <v>-17716.694</v>
      </c>
      <c r="E16" s="3">
        <v>8</v>
      </c>
      <c r="H16" s="1" t="s">
        <v>61</v>
      </c>
      <c r="I16" s="3">
        <v>-21024.92</v>
      </c>
      <c r="J16" s="3">
        <v>-17729.874</v>
      </c>
      <c r="K16" s="3">
        <v>8</v>
      </c>
    </row>
    <row r="17" spans="1:12">
      <c r="A17" s="2" t="s">
        <v>161</v>
      </c>
      <c r="B17" s="1" t="s">
        <v>41</v>
      </c>
      <c r="C17" s="3">
        <v>-21066.940999999999</v>
      </c>
      <c r="D17" s="3">
        <v>-17739.365000000002</v>
      </c>
      <c r="E17" s="3">
        <v>8</v>
      </c>
      <c r="H17" s="1" t="s">
        <v>62</v>
      </c>
      <c r="I17" s="3">
        <v>-21057.88</v>
      </c>
      <c r="J17" s="3">
        <v>-17752.544999999998</v>
      </c>
      <c r="K17" s="3">
        <v>8</v>
      </c>
    </row>
    <row r="18" spans="1:12">
      <c r="A18" s="2" t="s">
        <v>161</v>
      </c>
      <c r="B18" s="1" t="s">
        <v>47</v>
      </c>
      <c r="C18" s="3">
        <v>-21099.901000000002</v>
      </c>
      <c r="D18" s="3">
        <v>-17762.026000000002</v>
      </c>
      <c r="F18" s="3" t="s">
        <v>172</v>
      </c>
      <c r="H18" s="1" t="s">
        <v>63</v>
      </c>
      <c r="I18" s="3">
        <v>-21090.83</v>
      </c>
      <c r="J18" s="3">
        <v>-17775.216</v>
      </c>
      <c r="K18" s="3">
        <v>8</v>
      </c>
    </row>
    <row r="19" spans="1:12">
      <c r="A19" s="2" t="s">
        <v>161</v>
      </c>
      <c r="B19" s="1" t="s">
        <v>48</v>
      </c>
      <c r="C19" s="3">
        <v>-21132.862000000001</v>
      </c>
      <c r="D19" s="3">
        <v>-17784.696</v>
      </c>
      <c r="E19" s="3">
        <v>8</v>
      </c>
      <c r="H19" s="1" t="s">
        <v>64</v>
      </c>
      <c r="I19" s="3">
        <v>-21123.791000000001</v>
      </c>
      <c r="J19" s="3">
        <v>-17797.886999999999</v>
      </c>
      <c r="K19" s="3">
        <v>8</v>
      </c>
    </row>
    <row r="20" spans="1:12">
      <c r="A20" s="2" t="s">
        <v>161</v>
      </c>
      <c r="B20" s="1" t="s">
        <v>49</v>
      </c>
      <c r="C20" s="3">
        <v>-21165.812000000002</v>
      </c>
      <c r="D20" s="3">
        <v>-17807.366999999998</v>
      </c>
      <c r="E20" s="3">
        <v>8</v>
      </c>
      <c r="H20" s="1" t="s">
        <v>65</v>
      </c>
      <c r="I20" s="3">
        <v>-21156.751</v>
      </c>
      <c r="J20" s="3">
        <v>-17820.546999999999</v>
      </c>
      <c r="K20" s="3">
        <v>8</v>
      </c>
    </row>
    <row r="21" spans="1:12">
      <c r="A21" s="2" t="s">
        <v>161</v>
      </c>
      <c r="B21" s="1" t="s">
        <v>50</v>
      </c>
      <c r="C21" s="3">
        <v>-21198.773000000001</v>
      </c>
      <c r="D21" s="3">
        <v>-17830.038</v>
      </c>
      <c r="E21" s="3">
        <v>8</v>
      </c>
      <c r="F21" s="3" t="s">
        <v>169</v>
      </c>
      <c r="H21" s="1" t="s">
        <v>66</v>
      </c>
      <c r="I21" s="3">
        <v>-21189.690999999999</v>
      </c>
      <c r="J21" s="3">
        <v>-17843.248</v>
      </c>
      <c r="K21" s="3">
        <v>8</v>
      </c>
      <c r="L21" s="1" t="s">
        <v>171</v>
      </c>
    </row>
    <row r="22" spans="1:12">
      <c r="A22" s="2" t="s">
        <v>161</v>
      </c>
    </row>
    <row r="23" spans="1:12">
      <c r="A23" s="2" t="s">
        <v>161</v>
      </c>
      <c r="B23" s="1" t="s">
        <v>52</v>
      </c>
      <c r="C23" s="3">
        <v>-21216.873</v>
      </c>
      <c r="D23" s="3">
        <v>-17834.898000000001</v>
      </c>
      <c r="F23" s="3" t="s">
        <v>173</v>
      </c>
    </row>
    <row r="24" spans="1:12">
      <c r="A24" s="2" t="s">
        <v>161</v>
      </c>
      <c r="B24" s="1" t="s">
        <v>53</v>
      </c>
      <c r="C24" s="3">
        <v>-21216.023000000001</v>
      </c>
      <c r="D24" s="3">
        <v>-17844.898000000001</v>
      </c>
      <c r="F24" s="3" t="s">
        <v>172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5B6B-1283-6343-AD4A-A3DF62661F5C}">
  <dimension ref="A1:L10"/>
  <sheetViews>
    <sheetView topLeftCell="A4" zoomScale="125" workbookViewId="0">
      <selection activeCell="F7" sqref="F7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-30449.13</v>
      </c>
      <c r="D2" s="3">
        <v>-29541.107</v>
      </c>
      <c r="E2" s="3">
        <v>5.4550000000000001</v>
      </c>
      <c r="H2" s="1" t="s">
        <v>77</v>
      </c>
      <c r="I2" s="3">
        <v>-30448.17</v>
      </c>
      <c r="J2" s="3">
        <v>-29530.239000000001</v>
      </c>
      <c r="K2" s="3">
        <v>5.4550000000000001</v>
      </c>
      <c r="L2" s="3"/>
    </row>
    <row r="3" spans="1:12">
      <c r="A3" s="2" t="s">
        <v>162</v>
      </c>
      <c r="B3" s="1" t="s">
        <v>76</v>
      </c>
      <c r="C3" s="3">
        <v>-30399.214</v>
      </c>
      <c r="D3" s="3">
        <v>-29544.937000000002</v>
      </c>
      <c r="E3" s="3">
        <v>5.4550000000000001</v>
      </c>
      <c r="H3" s="1" t="s">
        <v>12</v>
      </c>
      <c r="I3" s="3">
        <v>-30398.38</v>
      </c>
      <c r="J3" s="3">
        <v>-29534.06</v>
      </c>
      <c r="K3" s="3">
        <v>5.4550000000000001</v>
      </c>
      <c r="L3" s="3"/>
    </row>
    <row r="4" spans="1:12">
      <c r="A4" s="2" t="s">
        <v>162</v>
      </c>
      <c r="B4" s="1" t="s">
        <v>25</v>
      </c>
      <c r="C4" s="3">
        <v>-30349.360000000001</v>
      </c>
      <c r="D4" s="3">
        <v>-29548.762999999999</v>
      </c>
      <c r="E4" s="3">
        <v>5.4550000000000001</v>
      </c>
      <c r="H4" s="1" t="s">
        <v>11</v>
      </c>
      <c r="I4" s="3">
        <v>-30348.526000000002</v>
      </c>
      <c r="J4" s="3">
        <v>-29537.884999999998</v>
      </c>
      <c r="K4" s="3">
        <v>5.4550000000000001</v>
      </c>
    </row>
    <row r="5" spans="1:12">
      <c r="A5" s="2" t="s">
        <v>162</v>
      </c>
      <c r="B5" s="1" t="s">
        <v>24</v>
      </c>
      <c r="C5" s="3">
        <v>-30299.507000000001</v>
      </c>
      <c r="D5" s="3">
        <v>-29552.588</v>
      </c>
      <c r="E5" s="3">
        <v>5.4550000000000001</v>
      </c>
      <c r="H5" s="1" t="s">
        <v>10</v>
      </c>
      <c r="I5" s="3">
        <v>-30298.672999999999</v>
      </c>
      <c r="J5" s="3">
        <v>-29541.710999999999</v>
      </c>
      <c r="K5" s="3">
        <v>5.4550000000000001</v>
      </c>
    </row>
    <row r="6" spans="1:12">
      <c r="A6" s="2" t="s">
        <v>162</v>
      </c>
      <c r="B6" s="1" t="s">
        <v>23</v>
      </c>
      <c r="C6" s="3">
        <v>-30249.652999999998</v>
      </c>
      <c r="D6" s="3">
        <v>-29556.414000000001</v>
      </c>
      <c r="E6" s="3">
        <v>5.4550000000000001</v>
      </c>
      <c r="H6" s="1" t="s">
        <v>9</v>
      </c>
      <c r="I6" s="3">
        <v>-30249.317999999999</v>
      </c>
      <c r="J6" s="3">
        <v>-29545.498</v>
      </c>
      <c r="K6" s="3">
        <v>5.4550000000000001</v>
      </c>
    </row>
    <row r="7" spans="1:12">
      <c r="A7" s="2" t="s">
        <v>162</v>
      </c>
      <c r="B7" s="1" t="s">
        <v>22</v>
      </c>
      <c r="C7" s="3">
        <v>-30199.8</v>
      </c>
      <c r="D7" s="3">
        <v>-29560.239000000001</v>
      </c>
      <c r="E7" s="3">
        <v>5.4550000000000001</v>
      </c>
      <c r="H7" s="1" t="s">
        <v>8</v>
      </c>
      <c r="I7" s="3">
        <v>-30198.966</v>
      </c>
      <c r="J7" s="3">
        <v>-29549.362000000001</v>
      </c>
      <c r="K7" s="3">
        <v>5.4550000000000001</v>
      </c>
    </row>
    <row r="8" spans="1:12">
      <c r="A8" s="2" t="s">
        <v>162</v>
      </c>
      <c r="B8" s="1" t="s">
        <v>21</v>
      </c>
      <c r="C8" s="3">
        <v>-30155.832999999999</v>
      </c>
      <c r="D8" s="3">
        <v>-29563.613000000001</v>
      </c>
      <c r="E8" s="3">
        <v>5.4550000000000001</v>
      </c>
      <c r="H8" s="1" t="s">
        <v>7</v>
      </c>
      <c r="I8" s="3">
        <v>-30155.473000000002</v>
      </c>
      <c r="J8" s="3">
        <v>-29552.699000000001</v>
      </c>
      <c r="K8" s="3">
        <v>5.4550000000000001</v>
      </c>
      <c r="L8" s="3"/>
    </row>
    <row r="10" spans="1:12">
      <c r="L10" s="3"/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3B97-51C4-CE4E-9349-E1596DA53466}">
  <dimension ref="A1:L52"/>
  <sheetViews>
    <sheetView zoomScale="125" workbookViewId="0">
      <selection activeCell="C27" sqref="C27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-25942.613000000001</v>
      </c>
      <c r="D2" s="3">
        <v>-39899.743999999999</v>
      </c>
      <c r="H2" s="1" t="s">
        <v>77</v>
      </c>
      <c r="I2" s="3">
        <v>-25949.393</v>
      </c>
      <c r="J2" s="3">
        <v>-39908.563000000002</v>
      </c>
      <c r="L2" s="3"/>
    </row>
    <row r="3" spans="1:12">
      <c r="A3" s="2" t="s">
        <v>162</v>
      </c>
      <c r="B3" s="1" t="s">
        <v>76</v>
      </c>
      <c r="C3" s="3">
        <v>-25947.223000000002</v>
      </c>
      <c r="D3" s="3">
        <v>-39897.273999999998</v>
      </c>
      <c r="H3" s="1" t="s">
        <v>12</v>
      </c>
      <c r="I3" s="3">
        <v>-25960.062999999998</v>
      </c>
      <c r="J3" s="3">
        <v>-39900.534</v>
      </c>
      <c r="L3" s="3"/>
    </row>
    <row r="4" spans="1:12">
      <c r="A4" s="2" t="s">
        <v>162</v>
      </c>
      <c r="B4" s="1" t="s">
        <v>25</v>
      </c>
      <c r="C4" s="3">
        <v>-25948.073</v>
      </c>
      <c r="D4" s="3">
        <v>-39898.483999999997</v>
      </c>
      <c r="H4" s="1" t="s">
        <v>11</v>
      </c>
      <c r="I4" s="3">
        <v>-25962.383000000002</v>
      </c>
      <c r="J4" s="3">
        <v>-39899.353999999999</v>
      </c>
    </row>
    <row r="5" spans="1:12">
      <c r="A5" s="2" t="s">
        <v>162</v>
      </c>
      <c r="B5" s="1" t="s">
        <v>175</v>
      </c>
      <c r="C5" s="3">
        <v>-25954.963</v>
      </c>
      <c r="D5" s="3">
        <v>-39894.974000000002</v>
      </c>
      <c r="H5" s="1" t="s">
        <v>10</v>
      </c>
      <c r="I5" s="3">
        <v>-26083.403999999999</v>
      </c>
      <c r="J5" s="3">
        <v>-39913.392999999996</v>
      </c>
    </row>
    <row r="6" spans="1:12">
      <c r="A6" s="2" t="s">
        <v>162</v>
      </c>
      <c r="B6" s="1" t="s">
        <v>23</v>
      </c>
      <c r="C6" s="3">
        <v>-25953.593000000001</v>
      </c>
      <c r="D6" s="3">
        <v>-39893.673999999999</v>
      </c>
      <c r="H6" s="1" t="s">
        <v>9</v>
      </c>
      <c r="I6" s="3">
        <v>-26090.394</v>
      </c>
      <c r="J6" s="3">
        <v>-39918.432000000001</v>
      </c>
    </row>
    <row r="7" spans="1:12">
      <c r="A7" s="2" t="s">
        <v>162</v>
      </c>
      <c r="B7" s="1" t="s">
        <v>22</v>
      </c>
      <c r="C7" s="3">
        <v>-25957.273000000001</v>
      </c>
      <c r="D7" s="3">
        <v>-39891.394</v>
      </c>
      <c r="H7" s="1" t="s">
        <v>8</v>
      </c>
      <c r="I7" s="3">
        <v>-26243.006000000001</v>
      </c>
      <c r="J7" s="3">
        <v>-39904.631999999998</v>
      </c>
    </row>
    <row r="8" spans="1:12">
      <c r="A8" s="2" t="s">
        <v>162</v>
      </c>
      <c r="B8" s="1" t="s">
        <v>21</v>
      </c>
      <c r="C8" s="3">
        <v>-25962.532999999999</v>
      </c>
      <c r="D8" s="3">
        <v>-39892.044000000002</v>
      </c>
      <c r="H8" s="1" t="s">
        <v>7</v>
      </c>
      <c r="I8" s="3">
        <v>-26300.177</v>
      </c>
      <c r="J8" s="3">
        <v>-39896.531999999999</v>
      </c>
      <c r="L8" s="3"/>
    </row>
    <row r="9" spans="1:12">
      <c r="A9" s="2" t="s">
        <v>162</v>
      </c>
      <c r="B9" s="1" t="s">
        <v>20</v>
      </c>
      <c r="C9" s="3">
        <v>-25965.483</v>
      </c>
      <c r="D9" s="3">
        <v>-39891.303999999996</v>
      </c>
      <c r="H9" s="1" t="s">
        <v>6</v>
      </c>
      <c r="I9" s="3">
        <v>-26300.135999999999</v>
      </c>
      <c r="J9" s="3">
        <v>-39900.502</v>
      </c>
    </row>
    <row r="10" spans="1:12">
      <c r="A10" s="2" t="s">
        <v>162</v>
      </c>
      <c r="B10" s="1" t="s">
        <v>164</v>
      </c>
      <c r="C10" s="3">
        <v>-25969.553</v>
      </c>
      <c r="D10" s="3">
        <v>-39891.014000000003</v>
      </c>
      <c r="H10" s="1" t="s">
        <v>5</v>
      </c>
      <c r="I10" s="3">
        <v>-26330.996999999999</v>
      </c>
      <c r="J10" s="3">
        <v>-39908.400999999998</v>
      </c>
      <c r="L10" s="3"/>
    </row>
    <row r="11" spans="1:12">
      <c r="A11" s="2" t="s">
        <v>162</v>
      </c>
      <c r="B11" s="1" t="s">
        <v>18</v>
      </c>
      <c r="C11" s="3">
        <v>-26075.903999999999</v>
      </c>
      <c r="D11" s="3">
        <v>-39901.853000000003</v>
      </c>
      <c r="H11" s="1" t="s">
        <v>4</v>
      </c>
      <c r="I11" s="3">
        <v>-26437.777999999998</v>
      </c>
      <c r="J11" s="3">
        <v>-39887.131999999998</v>
      </c>
    </row>
    <row r="12" spans="1:12">
      <c r="A12" s="2" t="s">
        <v>162</v>
      </c>
      <c r="B12" s="1" t="s">
        <v>176</v>
      </c>
      <c r="C12" s="3">
        <v>-26102.064999999999</v>
      </c>
      <c r="D12" s="3">
        <v>-39900.533000000003</v>
      </c>
      <c r="H12" s="1" t="s">
        <v>3</v>
      </c>
      <c r="I12" s="3">
        <v>-26522.598000000002</v>
      </c>
      <c r="J12" s="3">
        <v>-39876.002</v>
      </c>
    </row>
    <row r="13" spans="1:12">
      <c r="A13" s="2" t="s">
        <v>162</v>
      </c>
      <c r="B13" s="1" t="s">
        <v>16</v>
      </c>
      <c r="C13" s="3">
        <v>-26169.415000000001</v>
      </c>
      <c r="D13" s="3">
        <v>-39894.063000000002</v>
      </c>
      <c r="H13" s="1" t="s">
        <v>2</v>
      </c>
      <c r="I13" s="3">
        <v>-26532.768</v>
      </c>
      <c r="J13" s="3">
        <v>-39876.271999999997</v>
      </c>
    </row>
    <row r="14" spans="1:12">
      <c r="A14" s="2" t="s">
        <v>162</v>
      </c>
      <c r="B14" s="1" t="s">
        <v>15</v>
      </c>
      <c r="C14" s="3">
        <v>-26182.584999999999</v>
      </c>
      <c r="D14" s="3">
        <v>-39892.332999999999</v>
      </c>
      <c r="H14" s="1" t="s">
        <v>1</v>
      </c>
      <c r="I14" s="3">
        <v>-26771.839</v>
      </c>
      <c r="J14" s="3">
        <v>-39853.654000000002</v>
      </c>
    </row>
    <row r="15" spans="1:12">
      <c r="A15" s="2" t="s">
        <v>162</v>
      </c>
      <c r="B15" s="1" t="s">
        <v>14</v>
      </c>
      <c r="C15" s="3">
        <v>-26233.526000000002</v>
      </c>
      <c r="D15" s="3">
        <v>-39885.853000000003</v>
      </c>
      <c r="H15" s="1" t="s">
        <v>0</v>
      </c>
      <c r="I15" s="3">
        <v>-26818.629000000001</v>
      </c>
      <c r="J15" s="3">
        <v>-39848.135000000002</v>
      </c>
    </row>
    <row r="16" spans="1:12">
      <c r="A16" s="2" t="s">
        <v>162</v>
      </c>
      <c r="B16" s="1" t="s">
        <v>40</v>
      </c>
      <c r="C16" s="3">
        <v>-26267.146000000001</v>
      </c>
      <c r="D16" s="3">
        <v>-39883.171999999999</v>
      </c>
      <c r="H16" s="1" t="s">
        <v>61</v>
      </c>
      <c r="I16" s="3">
        <v>-26926.298999999999</v>
      </c>
      <c r="J16" s="3">
        <v>-39839.165999999997</v>
      </c>
    </row>
    <row r="17" spans="1:10">
      <c r="A17" s="2" t="s">
        <v>162</v>
      </c>
      <c r="B17" s="1" t="s">
        <v>41</v>
      </c>
      <c r="C17" s="3">
        <v>-26338.546999999999</v>
      </c>
      <c r="D17" s="3">
        <v>-39864.533000000003</v>
      </c>
    </row>
    <row r="18" spans="1:10">
      <c r="A18" s="2" t="s">
        <v>162</v>
      </c>
      <c r="B18" s="1" t="s">
        <v>47</v>
      </c>
      <c r="C18" s="3">
        <v>-26374.136999999999</v>
      </c>
      <c r="D18" s="3">
        <v>-39870.042000000001</v>
      </c>
    </row>
    <row r="19" spans="1:10">
      <c r="A19" s="2" t="s">
        <v>162</v>
      </c>
      <c r="B19" s="1" t="s">
        <v>48</v>
      </c>
      <c r="C19" s="3">
        <v>-26487.297999999999</v>
      </c>
      <c r="D19" s="3">
        <v>-39863.381999999998</v>
      </c>
    </row>
    <row r="20" spans="1:10">
      <c r="A20" s="2" t="s">
        <v>162</v>
      </c>
      <c r="B20" s="1" t="s">
        <v>49</v>
      </c>
      <c r="C20" s="3">
        <v>-26511.949000000001</v>
      </c>
      <c r="D20" s="3">
        <v>-39852.453000000001</v>
      </c>
    </row>
    <row r="21" spans="1:10">
      <c r="A21" s="2" t="s">
        <v>162</v>
      </c>
      <c r="B21" s="1" t="s">
        <v>50</v>
      </c>
      <c r="C21" s="3">
        <v>-26540.388999999999</v>
      </c>
      <c r="D21" s="3">
        <v>-39851.692999999999</v>
      </c>
    </row>
    <row r="22" spans="1:10">
      <c r="A22" s="2" t="s">
        <v>162</v>
      </c>
      <c r="B22" s="1" t="s">
        <v>51</v>
      </c>
      <c r="C22" s="3">
        <v>-26550.899000000001</v>
      </c>
      <c r="D22" s="3">
        <v>-39855.262999999999</v>
      </c>
    </row>
    <row r="23" spans="1:10">
      <c r="A23" s="2" t="s">
        <v>162</v>
      </c>
      <c r="B23" s="1" t="s">
        <v>52</v>
      </c>
      <c r="C23" s="3">
        <v>-26618.159</v>
      </c>
      <c r="D23" s="3">
        <v>-39852.072999999997</v>
      </c>
    </row>
    <row r="24" spans="1:10">
      <c r="A24" s="2" t="s">
        <v>162</v>
      </c>
      <c r="B24" s="1" t="s">
        <v>53</v>
      </c>
      <c r="C24" s="3">
        <v>-26618.059000000001</v>
      </c>
      <c r="D24" s="3">
        <v>-39849.472999999998</v>
      </c>
    </row>
    <row r="25" spans="1:10">
      <c r="A25" s="2" t="s">
        <v>162</v>
      </c>
      <c r="B25" s="1" t="s">
        <v>54</v>
      </c>
      <c r="C25" s="3">
        <v>-26649.949000000001</v>
      </c>
      <c r="D25" s="3">
        <v>-39848.694000000003</v>
      </c>
    </row>
    <row r="26" spans="1:10">
      <c r="A26" s="2" t="s">
        <v>162</v>
      </c>
      <c r="B26" s="1" t="s">
        <v>55</v>
      </c>
      <c r="C26" s="3">
        <v>-26656.688999999998</v>
      </c>
      <c r="D26" s="3">
        <v>-39843.584000000003</v>
      </c>
    </row>
    <row r="27" spans="1:10">
      <c r="A27" s="2" t="s">
        <v>162</v>
      </c>
      <c r="B27" s="1" t="s">
        <v>56</v>
      </c>
      <c r="C27" s="3">
        <v>-26770.208999999999</v>
      </c>
      <c r="D27" s="3">
        <v>-39834.014999999999</v>
      </c>
    </row>
    <row r="28" spans="1:10">
      <c r="A28" s="2" t="s">
        <v>162</v>
      </c>
      <c r="B28" s="1" t="s">
        <v>57</v>
      </c>
      <c r="C28" s="3">
        <v>-26826.409</v>
      </c>
      <c r="D28" s="3">
        <v>-39829.705000000002</v>
      </c>
    </row>
    <row r="29" spans="1:10">
      <c r="A29" s="2" t="s">
        <v>162</v>
      </c>
      <c r="B29" s="1" t="s">
        <v>58</v>
      </c>
      <c r="C29" s="3">
        <v>-26934.048999999999</v>
      </c>
      <c r="D29" s="3">
        <v>-39818.995999999999</v>
      </c>
    </row>
    <row r="31" spans="1:10">
      <c r="A31" s="2" t="s">
        <v>177</v>
      </c>
      <c r="B31" s="1" t="s">
        <v>80</v>
      </c>
      <c r="C31" s="3">
        <v>-26976.339</v>
      </c>
      <c r="D31" s="3">
        <v>-39810.837</v>
      </c>
      <c r="H31" s="1" t="s">
        <v>77</v>
      </c>
      <c r="I31" s="3">
        <v>-26953.089</v>
      </c>
      <c r="J31" s="3">
        <v>-39835.716</v>
      </c>
    </row>
    <row r="32" spans="1:10">
      <c r="A32" s="2" t="s">
        <v>177</v>
      </c>
      <c r="B32" s="1" t="s">
        <v>76</v>
      </c>
      <c r="C32" s="3">
        <v>-27003.618999999999</v>
      </c>
      <c r="D32" s="3">
        <v>-39799.866999999998</v>
      </c>
      <c r="H32" s="1" t="s">
        <v>12</v>
      </c>
      <c r="I32" s="3">
        <v>-26981.758999999998</v>
      </c>
      <c r="J32" s="3">
        <v>-39829.686000000002</v>
      </c>
    </row>
    <row r="33" spans="1:10">
      <c r="A33" s="2" t="s">
        <v>177</v>
      </c>
      <c r="B33" s="1" t="s">
        <v>25</v>
      </c>
      <c r="C33" s="3">
        <v>-27101.219000000001</v>
      </c>
      <c r="D33" s="3">
        <v>-39751.809000000001</v>
      </c>
      <c r="H33" s="1" t="s">
        <v>11</v>
      </c>
      <c r="I33" s="3">
        <v>-27014.089</v>
      </c>
      <c r="J33" s="3">
        <v>-39814.127</v>
      </c>
    </row>
    <row r="34" spans="1:10">
      <c r="A34" s="2" t="s">
        <v>177</v>
      </c>
      <c r="B34" s="1" t="s">
        <v>24</v>
      </c>
      <c r="C34" s="3">
        <v>-27112.778999999999</v>
      </c>
      <c r="D34" s="3">
        <v>-39745.059000000001</v>
      </c>
      <c r="H34" s="1" t="s">
        <v>10</v>
      </c>
      <c r="I34" s="3">
        <v>-27015.688999999998</v>
      </c>
      <c r="J34" s="3">
        <v>-39812.307000000001</v>
      </c>
    </row>
    <row r="35" spans="1:10">
      <c r="A35" s="2" t="s">
        <v>177</v>
      </c>
      <c r="B35" s="1" t="s">
        <v>23</v>
      </c>
      <c r="C35" s="3">
        <v>-27287.059000000001</v>
      </c>
      <c r="D35" s="3">
        <v>-39657.722999999998</v>
      </c>
      <c r="H35" s="1" t="s">
        <v>9</v>
      </c>
      <c r="I35" s="3">
        <v>-27042.649000000001</v>
      </c>
      <c r="J35" s="3">
        <v>-39798.817999999999</v>
      </c>
    </row>
    <row r="36" spans="1:10">
      <c r="A36" s="2" t="s">
        <v>177</v>
      </c>
      <c r="B36" s="1" t="s">
        <v>22</v>
      </c>
      <c r="C36" s="3">
        <v>-27311.848000000002</v>
      </c>
      <c r="D36" s="3">
        <v>-39648.343000000001</v>
      </c>
      <c r="H36" s="1" t="s">
        <v>8</v>
      </c>
      <c r="I36" s="3">
        <v>-27047.569</v>
      </c>
      <c r="J36" s="3">
        <v>-39799.118000000002</v>
      </c>
    </row>
    <row r="37" spans="1:10">
      <c r="A37" s="2" t="s">
        <v>177</v>
      </c>
      <c r="B37" s="1" t="s">
        <v>21</v>
      </c>
      <c r="C37" s="3">
        <v>-27348.027999999998</v>
      </c>
      <c r="D37" s="3">
        <v>-39632.273000000001</v>
      </c>
      <c r="H37" s="1" t="s">
        <v>7</v>
      </c>
      <c r="I37" s="3">
        <v>-27057.309000000001</v>
      </c>
      <c r="J37" s="3">
        <v>-39795.398000000001</v>
      </c>
    </row>
    <row r="38" spans="1:10">
      <c r="A38" s="2" t="s">
        <v>177</v>
      </c>
      <c r="B38" s="1" t="s">
        <v>20</v>
      </c>
      <c r="C38" s="3">
        <v>-27363.067999999999</v>
      </c>
      <c r="D38" s="3">
        <v>-39629.103999999999</v>
      </c>
      <c r="H38" s="1" t="s">
        <v>6</v>
      </c>
      <c r="I38" s="3">
        <v>-27061.039000000001</v>
      </c>
      <c r="J38" s="3">
        <v>-39789.658000000003</v>
      </c>
    </row>
    <row r="39" spans="1:10">
      <c r="A39" s="2" t="s">
        <v>177</v>
      </c>
      <c r="B39" s="1" t="s">
        <v>19</v>
      </c>
      <c r="C39" s="3">
        <v>-27385.038</v>
      </c>
      <c r="D39" s="3">
        <v>-39618.303999999996</v>
      </c>
      <c r="H39" s="1" t="s">
        <v>5</v>
      </c>
      <c r="I39" s="3">
        <v>-27132.109</v>
      </c>
      <c r="J39" s="3">
        <v>-39754.059000000001</v>
      </c>
    </row>
    <row r="40" spans="1:10">
      <c r="A40" s="2" t="s">
        <v>177</v>
      </c>
      <c r="B40" s="1" t="s">
        <v>18</v>
      </c>
      <c r="C40" s="3">
        <v>-27403.398000000001</v>
      </c>
      <c r="D40" s="3">
        <v>-39624.124000000003</v>
      </c>
      <c r="H40" s="1" t="s">
        <v>4</v>
      </c>
      <c r="I40" s="3">
        <v>-27149.258999999998</v>
      </c>
      <c r="J40" s="3">
        <v>-39746.639999999999</v>
      </c>
    </row>
    <row r="41" spans="1:10">
      <c r="A41" s="2" t="s">
        <v>177</v>
      </c>
      <c r="B41" s="1" t="s">
        <v>17</v>
      </c>
      <c r="C41" s="3">
        <v>-27443.977999999999</v>
      </c>
      <c r="D41" s="3">
        <v>-39631.733999999997</v>
      </c>
      <c r="H41" s="1" t="s">
        <v>3</v>
      </c>
      <c r="I41" s="3">
        <v>-27151.888999999999</v>
      </c>
      <c r="J41" s="3">
        <v>-39744.26</v>
      </c>
    </row>
    <row r="42" spans="1:10">
      <c r="A42" s="2" t="s">
        <v>177</v>
      </c>
      <c r="B42" s="1" t="s">
        <v>16</v>
      </c>
      <c r="C42" s="3">
        <v>-27498.528999999999</v>
      </c>
      <c r="D42" s="3">
        <v>-39647.983999999997</v>
      </c>
      <c r="H42" s="1" t="s">
        <v>2</v>
      </c>
      <c r="I42" s="3">
        <v>-27317.527999999998</v>
      </c>
      <c r="J42" s="3">
        <v>-39661.762999999999</v>
      </c>
    </row>
    <row r="43" spans="1:10">
      <c r="A43" s="2" t="s">
        <v>177</v>
      </c>
      <c r="B43" s="1" t="s">
        <v>15</v>
      </c>
      <c r="C43" s="3">
        <v>-27545.079000000002</v>
      </c>
      <c r="D43" s="3">
        <v>-39663.504000000001</v>
      </c>
      <c r="H43" s="1" t="s">
        <v>1</v>
      </c>
      <c r="I43" s="3">
        <v>-27322.258000000002</v>
      </c>
      <c r="J43" s="3">
        <v>-39661.262999999999</v>
      </c>
    </row>
    <row r="44" spans="1:10">
      <c r="A44" s="2" t="s">
        <v>177</v>
      </c>
      <c r="B44" s="1" t="s">
        <v>14</v>
      </c>
      <c r="C44" s="3">
        <v>-27564.129000000001</v>
      </c>
      <c r="D44" s="3">
        <v>-39671.663999999997</v>
      </c>
      <c r="H44" s="1" t="s">
        <v>0</v>
      </c>
      <c r="I44" s="3">
        <v>-27350.727999999999</v>
      </c>
      <c r="J44" s="3">
        <v>-39649.873</v>
      </c>
    </row>
    <row r="45" spans="1:10">
      <c r="A45" s="2" t="s">
        <v>177</v>
      </c>
      <c r="B45" s="1" t="s">
        <v>40</v>
      </c>
      <c r="C45" s="3">
        <v>-27580.109</v>
      </c>
      <c r="D45" s="3">
        <v>-39674.794000000002</v>
      </c>
      <c r="H45" s="1" t="s">
        <v>61</v>
      </c>
      <c r="I45" s="3">
        <v>-27395.338</v>
      </c>
      <c r="J45" s="3">
        <v>-39641.074000000001</v>
      </c>
    </row>
    <row r="46" spans="1:10">
      <c r="A46" s="2" t="s">
        <v>177</v>
      </c>
      <c r="B46" s="1" t="s">
        <v>41</v>
      </c>
      <c r="C46" s="3">
        <v>-27579.708999999999</v>
      </c>
      <c r="D46" s="3">
        <v>-39677.574000000001</v>
      </c>
      <c r="H46" s="1" t="s">
        <v>62</v>
      </c>
      <c r="I46" s="3">
        <v>-27415.477999999999</v>
      </c>
      <c r="J46" s="3">
        <v>-39642.464</v>
      </c>
    </row>
    <row r="47" spans="1:10">
      <c r="A47" s="2" t="s">
        <v>177</v>
      </c>
      <c r="B47" s="1" t="s">
        <v>47</v>
      </c>
      <c r="C47" s="3">
        <v>-27592.919000000002</v>
      </c>
      <c r="D47" s="3">
        <v>-39679.243999999999</v>
      </c>
      <c r="H47" s="1" t="s">
        <v>63</v>
      </c>
      <c r="I47" s="3">
        <v>-27430.218000000001</v>
      </c>
      <c r="J47" s="3">
        <v>-39645.114000000001</v>
      </c>
    </row>
    <row r="48" spans="1:10">
      <c r="A48" s="2" t="s">
        <v>177</v>
      </c>
      <c r="H48" s="1" t="s">
        <v>64</v>
      </c>
      <c r="I48" s="3">
        <v>-27511.409</v>
      </c>
      <c r="J48" s="3">
        <v>-39669.432999999997</v>
      </c>
    </row>
    <row r="49" spans="1:10">
      <c r="A49" s="2" t="s">
        <v>177</v>
      </c>
      <c r="H49" s="1" t="s">
        <v>65</v>
      </c>
      <c r="I49" s="3">
        <v>-27554.008999999998</v>
      </c>
      <c r="J49" s="3">
        <v>-39684.082999999999</v>
      </c>
    </row>
    <row r="50" spans="1:10">
      <c r="A50" s="2" t="s">
        <v>177</v>
      </c>
      <c r="H50" s="1" t="s">
        <v>66</v>
      </c>
      <c r="I50" s="3">
        <v>-27557.598999999998</v>
      </c>
      <c r="J50" s="3">
        <v>-39683.292999999998</v>
      </c>
    </row>
    <row r="51" spans="1:10">
      <c r="A51" s="2" t="s">
        <v>177</v>
      </c>
      <c r="H51" s="1" t="s">
        <v>67</v>
      </c>
      <c r="I51" s="3">
        <v>-27577.708999999999</v>
      </c>
      <c r="J51" s="3">
        <v>-39689.472999999998</v>
      </c>
    </row>
    <row r="52" spans="1:10">
      <c r="A52" s="2" t="s">
        <v>177</v>
      </c>
      <c r="H52" s="1" t="s">
        <v>68</v>
      </c>
      <c r="I52" s="3">
        <v>-27587.298999999999</v>
      </c>
      <c r="J52" s="3">
        <v>-39690.093000000001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C2D0-D42D-6D40-A277-2562649103E3}">
  <dimension ref="A1:N31"/>
  <sheetViews>
    <sheetView workbookViewId="0">
      <selection sqref="A1:C5"/>
    </sheetView>
  </sheetViews>
  <sheetFormatPr baseColWidth="10" defaultRowHeight="18"/>
  <cols>
    <col min="1" max="1" width="6.1640625" bestFit="1" customWidth="1"/>
    <col min="2" max="2" width="13.1640625" bestFit="1" customWidth="1"/>
    <col min="3" max="3" width="11.83203125" bestFit="1" customWidth="1"/>
    <col min="4" max="4" width="6.5" bestFit="1" customWidth="1"/>
    <col min="5" max="5" width="13.6640625" bestFit="1" customWidth="1"/>
    <col min="6" max="6" width="13.1640625" bestFit="1" customWidth="1"/>
    <col min="7" max="7" width="11.83203125" bestFit="1" customWidth="1"/>
    <col min="8" max="9" width="11.5" customWidth="1"/>
  </cols>
  <sheetData>
    <row r="1" spans="1:14" ht="19" customHeight="1">
      <c r="A1" s="4" t="s">
        <v>77</v>
      </c>
      <c r="B1" s="4">
        <v>-113207.238</v>
      </c>
      <c r="C1" s="4">
        <v>-55927.404000000002</v>
      </c>
      <c r="D1" s="4"/>
      <c r="E1" s="4" t="s">
        <v>27</v>
      </c>
      <c r="F1" s="4" t="s">
        <v>178</v>
      </c>
      <c r="G1" s="5">
        <v>-55944.135000000002</v>
      </c>
      <c r="H1" s="4"/>
      <c r="I1">
        <f>IF(LEFT(B1,1)="-",B1,VALUE("-119"&amp;B1))</f>
        <v>-113207.238</v>
      </c>
      <c r="J1">
        <f>IF(LEFT(C1,1)="-",C1,VALUE("-55"&amp;C1))</f>
        <v>-55927.404000000002</v>
      </c>
      <c r="M1" t="str">
        <f>IF(LEFT(F1,1)="-",F1,VALUE("-119"&amp;F1))</f>
        <v>-113.208.516</v>
      </c>
      <c r="N1">
        <f>IF(LEFT(G1,1)="-",G1,VALUE("-54"&amp;G1))</f>
        <v>-55944.135000000002</v>
      </c>
    </row>
    <row r="2" spans="1:14">
      <c r="A2" s="4" t="s">
        <v>12</v>
      </c>
      <c r="B2" s="4">
        <v>-113097.88800000001</v>
      </c>
      <c r="C2" s="4">
        <v>-55935.758000000002</v>
      </c>
      <c r="D2" s="4"/>
      <c r="E2" s="4" t="s">
        <v>76</v>
      </c>
      <c r="F2" s="4">
        <v>-113073.387</v>
      </c>
      <c r="G2" s="4">
        <v>-55949.457000000002</v>
      </c>
      <c r="H2" s="4"/>
      <c r="I2">
        <f t="shared" ref="I2" si="0">IF(LEFT(B2,1)="-",B2,VALUE("-119"&amp;B2))</f>
        <v>-113097.88800000001</v>
      </c>
      <c r="J2">
        <f t="shared" ref="J2:J22" si="1">IF(LEFT(C2,1)="-",C2,VALUE("-55"&amp;C2))</f>
        <v>-55935.758000000002</v>
      </c>
      <c r="M2">
        <f>IF(LEFT(F2,1)="-",F2,VALUE("-120"&amp;F2))</f>
        <v>-113073.387</v>
      </c>
      <c r="N2">
        <f t="shared" ref="N2" si="2">IF(LEFT(G2,1)="-",G2,VALUE("-54"&amp;G2))</f>
        <v>-55949.457000000002</v>
      </c>
    </row>
    <row r="3" spans="1:14">
      <c r="A3" s="4" t="s">
        <v>11</v>
      </c>
      <c r="B3" s="4">
        <v>-113089.929</v>
      </c>
      <c r="C3" s="4">
        <v>-55929.703000000001</v>
      </c>
      <c r="D3" s="4"/>
      <c r="E3" s="4" t="s">
        <v>25</v>
      </c>
      <c r="F3" s="4">
        <v>-113052.853</v>
      </c>
      <c r="G3" s="4">
        <v>-55849.837</v>
      </c>
      <c r="H3" s="4"/>
      <c r="I3">
        <f>IF(LEFT(B3,1)="-",B3,VALUE("-120"&amp;B3))</f>
        <v>-113089.929</v>
      </c>
      <c r="J3">
        <f t="shared" si="1"/>
        <v>-55929.703000000001</v>
      </c>
      <c r="M3">
        <f t="shared" ref="M3:M12" si="3">IF(LEFT(F3,1)="-",F3,VALUE("-120"&amp;F3))</f>
        <v>-113052.853</v>
      </c>
      <c r="N3">
        <f t="shared" ref="N3:N22" si="4">IF(LEFT(G3,1)="-",G3,VALUE("-55"&amp;G3))</f>
        <v>-55849.837</v>
      </c>
    </row>
    <row r="4" spans="1:14">
      <c r="A4" s="4" t="s">
        <v>10</v>
      </c>
      <c r="B4" s="4">
        <v>-113072.197</v>
      </c>
      <c r="C4" s="4">
        <v>-55839.353999999999</v>
      </c>
      <c r="D4" s="4"/>
      <c r="E4" s="4" t="s">
        <v>24</v>
      </c>
      <c r="F4" s="5">
        <v>-113043.955</v>
      </c>
      <c r="G4" s="5">
        <v>-55845.273999999998</v>
      </c>
      <c r="H4" s="4"/>
      <c r="I4">
        <f t="shared" ref="I4:I11" si="5">IF(LEFT(B4,1)="-",B4,VALUE("-120"&amp;B4))</f>
        <v>-113072.197</v>
      </c>
      <c r="J4">
        <f t="shared" si="1"/>
        <v>-55839.353999999999</v>
      </c>
      <c r="M4">
        <f t="shared" si="3"/>
        <v>-113043.955</v>
      </c>
      <c r="N4">
        <f t="shared" si="4"/>
        <v>-55845.273999999998</v>
      </c>
    </row>
    <row r="5" spans="1:14">
      <c r="A5" s="4" t="s">
        <v>9</v>
      </c>
      <c r="B5" s="5">
        <v>-113076.753</v>
      </c>
      <c r="C5" s="4">
        <v>-55830.451999999997</v>
      </c>
      <c r="D5" s="4"/>
      <c r="E5" s="4"/>
      <c r="F5" s="4"/>
      <c r="G5" s="4"/>
      <c r="I5">
        <f t="shared" si="5"/>
        <v>-113076.753</v>
      </c>
      <c r="J5">
        <f t="shared" si="1"/>
        <v>-55830.451999999997</v>
      </c>
      <c r="M5">
        <f t="shared" si="3"/>
        <v>-120</v>
      </c>
      <c r="N5">
        <f t="shared" si="4"/>
        <v>-55</v>
      </c>
    </row>
    <row r="6" spans="1:14">
      <c r="A6" s="4"/>
      <c r="B6" s="4"/>
      <c r="C6" s="4"/>
      <c r="D6" s="4"/>
      <c r="E6" s="4"/>
      <c r="F6" s="4"/>
      <c r="G6" s="4"/>
      <c r="H6" s="4"/>
      <c r="I6">
        <f t="shared" si="5"/>
        <v>-120</v>
      </c>
      <c r="J6">
        <f t="shared" si="1"/>
        <v>-55</v>
      </c>
      <c r="M6">
        <f t="shared" si="3"/>
        <v>-120</v>
      </c>
      <c r="N6">
        <f t="shared" si="4"/>
        <v>-55</v>
      </c>
    </row>
    <row r="7" spans="1:14">
      <c r="A7" s="4"/>
      <c r="B7" s="4"/>
      <c r="C7" s="4"/>
      <c r="D7" s="4"/>
      <c r="E7" s="4"/>
      <c r="F7" s="4"/>
      <c r="G7" s="4"/>
      <c r="H7" s="4"/>
      <c r="I7">
        <f t="shared" si="5"/>
        <v>-120</v>
      </c>
      <c r="J7">
        <f t="shared" si="1"/>
        <v>-55</v>
      </c>
      <c r="M7">
        <f t="shared" si="3"/>
        <v>-120</v>
      </c>
      <c r="N7">
        <f t="shared" si="4"/>
        <v>-55</v>
      </c>
    </row>
    <row r="8" spans="1:14">
      <c r="A8" s="4"/>
      <c r="B8" s="4"/>
      <c r="C8" s="6"/>
      <c r="D8" s="4"/>
      <c r="E8" s="4"/>
      <c r="F8" s="4"/>
      <c r="G8" s="4"/>
      <c r="H8" s="4"/>
      <c r="I8">
        <f t="shared" si="5"/>
        <v>-120</v>
      </c>
      <c r="J8">
        <f t="shared" si="1"/>
        <v>-55</v>
      </c>
      <c r="M8">
        <f t="shared" si="3"/>
        <v>-120</v>
      </c>
      <c r="N8">
        <f t="shared" si="4"/>
        <v>-55</v>
      </c>
    </row>
    <row r="9" spans="1:14">
      <c r="A9" s="4"/>
      <c r="B9" s="4"/>
      <c r="C9" s="6"/>
      <c r="D9" s="4"/>
      <c r="E9" s="4"/>
      <c r="F9" s="4"/>
      <c r="G9" s="6"/>
      <c r="H9" s="4"/>
      <c r="I9">
        <f t="shared" si="5"/>
        <v>-120</v>
      </c>
      <c r="J9">
        <f t="shared" si="1"/>
        <v>-55</v>
      </c>
      <c r="M9">
        <f t="shared" si="3"/>
        <v>-120</v>
      </c>
      <c r="N9">
        <f t="shared" si="4"/>
        <v>-55</v>
      </c>
    </row>
    <row r="10" spans="1:14">
      <c r="A10" s="4"/>
      <c r="B10" s="4"/>
      <c r="C10" s="4"/>
      <c r="D10" s="4"/>
      <c r="E10" s="4"/>
      <c r="F10" s="4"/>
      <c r="G10" s="4"/>
      <c r="H10" s="4"/>
      <c r="I10">
        <f t="shared" si="5"/>
        <v>-120</v>
      </c>
      <c r="J10">
        <f t="shared" si="1"/>
        <v>-55</v>
      </c>
      <c r="M10">
        <f t="shared" si="3"/>
        <v>-120</v>
      </c>
      <c r="N10">
        <f t="shared" si="4"/>
        <v>-55</v>
      </c>
    </row>
    <row r="11" spans="1:14">
      <c r="A11" s="4"/>
      <c r="B11" s="5"/>
      <c r="C11" s="4"/>
      <c r="D11" s="4"/>
      <c r="E11" s="4"/>
      <c r="F11" s="4"/>
      <c r="G11" s="4"/>
      <c r="H11" s="4"/>
      <c r="I11">
        <f t="shared" si="5"/>
        <v>-120</v>
      </c>
      <c r="J11">
        <f t="shared" si="1"/>
        <v>-55</v>
      </c>
      <c r="M11">
        <f t="shared" si="3"/>
        <v>-120</v>
      </c>
      <c r="N11">
        <f t="shared" si="4"/>
        <v>-55</v>
      </c>
    </row>
    <row r="12" spans="1:14">
      <c r="A12" s="4"/>
      <c r="B12" s="5"/>
      <c r="C12" s="4"/>
      <c r="D12" s="4"/>
      <c r="E12" s="4"/>
      <c r="F12" s="4"/>
      <c r="G12" s="4"/>
      <c r="H12" s="4"/>
      <c r="I12">
        <f>IF(LEFT(B12,1)="-",B12,VALUE("-119"&amp;B12))</f>
        <v>-119</v>
      </c>
      <c r="J12">
        <f t="shared" si="1"/>
        <v>-55</v>
      </c>
      <c r="M12">
        <f t="shared" si="3"/>
        <v>-120</v>
      </c>
      <c r="N12">
        <f t="shared" si="4"/>
        <v>-55</v>
      </c>
    </row>
    <row r="13" spans="1:14">
      <c r="A13" s="4"/>
      <c r="B13" s="4"/>
      <c r="C13" s="4"/>
      <c r="D13" s="4"/>
      <c r="E13" s="4"/>
      <c r="F13" s="4"/>
      <c r="G13" s="4"/>
      <c r="H13" s="4"/>
      <c r="I13">
        <f t="shared" ref="I13:I22" si="6">IF(LEFT(B13,1)="-",B13,VALUE("-119"&amp;B13))</f>
        <v>-119</v>
      </c>
      <c r="J13">
        <f t="shared" si="1"/>
        <v>-55</v>
      </c>
      <c r="M13">
        <f t="shared" ref="M13:M22" si="7">IF(LEFT(F13,1)="-",F13,VALUE("-119"&amp;F13))</f>
        <v>-119</v>
      </c>
      <c r="N13">
        <f t="shared" si="4"/>
        <v>-55</v>
      </c>
    </row>
    <row r="14" spans="1:14">
      <c r="A14" s="4"/>
      <c r="B14" s="4"/>
      <c r="C14" s="4"/>
      <c r="D14" s="4"/>
      <c r="E14" s="4"/>
      <c r="F14" s="4"/>
      <c r="G14" s="4"/>
      <c r="H14" s="4"/>
      <c r="I14">
        <f t="shared" si="6"/>
        <v>-119</v>
      </c>
      <c r="J14">
        <f t="shared" si="1"/>
        <v>-55</v>
      </c>
      <c r="M14">
        <f t="shared" si="7"/>
        <v>-119</v>
      </c>
      <c r="N14">
        <f t="shared" si="4"/>
        <v>-55</v>
      </c>
    </row>
    <row r="15" spans="1:14">
      <c r="A15" s="4"/>
      <c r="B15" s="4"/>
      <c r="C15" s="6"/>
      <c r="D15" s="4"/>
      <c r="E15" s="4"/>
      <c r="F15" s="4"/>
      <c r="G15" s="4"/>
      <c r="H15" s="4"/>
      <c r="I15">
        <f t="shared" si="6"/>
        <v>-119</v>
      </c>
      <c r="J15">
        <f t="shared" si="1"/>
        <v>-55</v>
      </c>
      <c r="M15">
        <f t="shared" si="7"/>
        <v>-119</v>
      </c>
      <c r="N15">
        <f t="shared" si="4"/>
        <v>-55</v>
      </c>
    </row>
    <row r="16" spans="1:14">
      <c r="A16" s="4"/>
      <c r="B16" s="4"/>
      <c r="C16" s="4"/>
      <c r="D16" s="4"/>
      <c r="E16" s="4"/>
      <c r="F16" s="4"/>
      <c r="G16" s="7"/>
      <c r="H16" s="4"/>
      <c r="I16">
        <f t="shared" si="6"/>
        <v>-119</v>
      </c>
      <c r="J16">
        <f t="shared" si="1"/>
        <v>-55</v>
      </c>
      <c r="M16">
        <f t="shared" si="7"/>
        <v>-119</v>
      </c>
      <c r="N16">
        <f t="shared" si="4"/>
        <v>-55</v>
      </c>
    </row>
    <row r="17" spans="1:14">
      <c r="A17" s="4"/>
      <c r="B17" s="4"/>
      <c r="C17" s="4"/>
      <c r="D17" s="4"/>
      <c r="E17" s="4"/>
      <c r="F17" s="4"/>
      <c r="G17" s="4"/>
      <c r="H17" s="4"/>
      <c r="I17">
        <f t="shared" si="6"/>
        <v>-119</v>
      </c>
      <c r="J17">
        <f t="shared" si="1"/>
        <v>-55</v>
      </c>
      <c r="M17">
        <f t="shared" si="7"/>
        <v>-119</v>
      </c>
      <c r="N17">
        <f t="shared" si="4"/>
        <v>-55</v>
      </c>
    </row>
    <row r="18" spans="1:14">
      <c r="A18" s="4"/>
      <c r="B18" s="4"/>
      <c r="C18" s="4"/>
      <c r="D18" s="4"/>
      <c r="E18" s="4"/>
      <c r="F18" s="4"/>
      <c r="G18" s="5"/>
      <c r="H18" s="4"/>
      <c r="I18">
        <f t="shared" si="6"/>
        <v>-119</v>
      </c>
      <c r="J18">
        <f t="shared" si="1"/>
        <v>-55</v>
      </c>
      <c r="M18">
        <f t="shared" si="7"/>
        <v>-119</v>
      </c>
      <c r="N18">
        <f t="shared" si="4"/>
        <v>-55</v>
      </c>
    </row>
    <row r="19" spans="1:14">
      <c r="A19" s="4"/>
      <c r="B19" s="4"/>
      <c r="C19" s="4"/>
      <c r="D19" s="4"/>
      <c r="E19" s="4"/>
      <c r="F19" s="4"/>
      <c r="G19" s="4"/>
      <c r="H19" s="4"/>
      <c r="I19">
        <f t="shared" si="6"/>
        <v>-119</v>
      </c>
      <c r="J19">
        <f t="shared" si="1"/>
        <v>-55</v>
      </c>
      <c r="M19">
        <f t="shared" si="7"/>
        <v>-119</v>
      </c>
      <c r="N19">
        <f t="shared" si="4"/>
        <v>-55</v>
      </c>
    </row>
    <row r="20" spans="1:14">
      <c r="A20" s="4"/>
      <c r="B20" s="4"/>
      <c r="C20" s="4"/>
      <c r="D20" s="4"/>
      <c r="E20" s="4"/>
      <c r="F20" s="4"/>
      <c r="G20" s="4"/>
      <c r="H20" s="4"/>
      <c r="I20">
        <f t="shared" si="6"/>
        <v>-119</v>
      </c>
      <c r="J20">
        <f t="shared" si="1"/>
        <v>-55</v>
      </c>
      <c r="M20">
        <f t="shared" si="7"/>
        <v>-119</v>
      </c>
      <c r="N20">
        <f t="shared" si="4"/>
        <v>-55</v>
      </c>
    </row>
    <row r="21" spans="1:14">
      <c r="A21" s="4"/>
      <c r="B21" s="4"/>
      <c r="C21" s="4"/>
      <c r="D21" s="4"/>
      <c r="E21" s="4"/>
      <c r="F21" s="4"/>
      <c r="G21" s="4"/>
      <c r="H21" s="4"/>
      <c r="I21">
        <f t="shared" si="6"/>
        <v>-119</v>
      </c>
      <c r="J21">
        <f t="shared" si="1"/>
        <v>-55</v>
      </c>
      <c r="M21">
        <f t="shared" si="7"/>
        <v>-119</v>
      </c>
      <c r="N21">
        <f t="shared" si="4"/>
        <v>-55</v>
      </c>
    </row>
    <row r="22" spans="1:14">
      <c r="A22" s="4"/>
      <c r="B22" s="4"/>
      <c r="C22" s="5"/>
      <c r="D22" s="4"/>
      <c r="E22" s="4"/>
      <c r="F22" s="4"/>
      <c r="H22" s="4"/>
      <c r="I22">
        <f t="shared" si="6"/>
        <v>-119</v>
      </c>
      <c r="J22">
        <f t="shared" si="1"/>
        <v>-55</v>
      </c>
      <c r="M22">
        <f t="shared" si="7"/>
        <v>-119</v>
      </c>
      <c r="N22">
        <f t="shared" si="4"/>
        <v>-55</v>
      </c>
    </row>
    <row r="23" spans="1:14">
      <c r="A23" s="4"/>
      <c r="B23" s="4"/>
      <c r="C23" s="4"/>
      <c r="D23" s="4"/>
      <c r="E23" s="4"/>
      <c r="F23" s="4"/>
      <c r="G23" s="4"/>
      <c r="H23" s="4"/>
      <c r="I23">
        <f>IF(ISERROR(VALUE("-131"&amp;B23)),B23,VALUE("-131"&amp;B23))</f>
        <v>-131</v>
      </c>
      <c r="J23">
        <f>IF(ISERROR(VALUE("-49"&amp;C23)),C23,VALUE("-49"&amp;C23))</f>
        <v>-49</v>
      </c>
      <c r="M23">
        <f>IF(ISERROR(VALUE("-131"&amp;F23)),F23,VALUE("-131"&amp;F23))</f>
        <v>-131</v>
      </c>
      <c r="N23">
        <f>IF(ISERROR(VALUE("-49"&amp;G23)),G23,VALUE("-49"&amp;G23))</f>
        <v>-49</v>
      </c>
    </row>
    <row r="24" spans="1:14">
      <c r="A24" s="4"/>
      <c r="B24" s="4"/>
      <c r="C24" s="4"/>
      <c r="D24" s="4"/>
      <c r="E24" s="4"/>
      <c r="F24" s="6"/>
      <c r="G24" s="4"/>
      <c r="H24" s="4"/>
      <c r="I24">
        <f>IF(ISERROR(VALUE("-131"&amp;B24)),B24,VALUE("-131"&amp;B24))</f>
        <v>-131</v>
      </c>
      <c r="J24">
        <f>IF(ISERROR(VALUE("-49"&amp;C24)),C24,VALUE("-49"&amp;C24))</f>
        <v>-49</v>
      </c>
      <c r="M24">
        <f>IF(ISERROR(VALUE("-131"&amp;F24)),F24,VALUE("-131"&amp;F24))</f>
        <v>-131</v>
      </c>
      <c r="N24">
        <f>IF(ISERROR(VALUE("-49"&amp;G24)),G24,VALUE("-49"&amp;G24))</f>
        <v>-49</v>
      </c>
    </row>
    <row r="25" spans="1:14">
      <c r="A25" s="4"/>
      <c r="B25" s="5"/>
      <c r="C25" s="5"/>
      <c r="D25" s="4"/>
      <c r="E25" s="4"/>
      <c r="F25" s="4"/>
      <c r="G25" s="4"/>
      <c r="H25" s="4"/>
      <c r="I25">
        <f>IF(ISERROR(VALUE("-131"&amp;B25)),B25,VALUE("-131"&amp;B25))</f>
        <v>-131</v>
      </c>
      <c r="J25">
        <f>IF(ISERROR(VALUE("-49"&amp;C25)),C25,VALUE("-49"&amp;C25))</f>
        <v>-49</v>
      </c>
      <c r="M25">
        <f>IF(ISERROR(VALUE("-131"&amp;F25)),F25,VALUE("-131"&amp;F25))</f>
        <v>-131</v>
      </c>
      <c r="N25">
        <f>IF(ISERROR(VALUE("-49"&amp;G25)),G25,VALUE("-49"&amp;G25))</f>
        <v>-49</v>
      </c>
    </row>
    <row r="26" spans="1:14">
      <c r="A26" s="4"/>
      <c r="B26" s="4"/>
      <c r="C26" s="4"/>
      <c r="E26" s="4"/>
      <c r="F26" s="4"/>
      <c r="G26" s="4"/>
      <c r="H26" s="4"/>
      <c r="I26">
        <f>IF(ISERROR(VALUE("-131"&amp;B26)),B26,VALUE("-131"&amp;B26))</f>
        <v>-131</v>
      </c>
      <c r="J26">
        <f>IF(ISERROR(VALUE("-49"&amp;C26)),C26,VALUE("-49"&amp;C26))</f>
        <v>-49</v>
      </c>
      <c r="M26">
        <f>IF(ISERROR(VALUE("-131"&amp;F26)),F26,VALUE("-131"&amp;F26))</f>
        <v>-131</v>
      </c>
      <c r="N26">
        <f>IF(ISERROR(VALUE("-49"&amp;G26)),G26,VALUE("-49"&amp;G26))</f>
        <v>-49</v>
      </c>
    </row>
    <row r="27" spans="1:14">
      <c r="A27" s="4"/>
      <c r="B27" s="4"/>
      <c r="C27" s="4"/>
      <c r="E27" s="4"/>
      <c r="F27" s="4"/>
      <c r="G27" s="4"/>
      <c r="H27" s="4"/>
      <c r="I27">
        <f>IF(ISERROR(VALUE("-131"&amp;B27)),B27,VALUE("-131"&amp;B27))</f>
        <v>-131</v>
      </c>
      <c r="J27">
        <f>IF(ISERROR(VALUE("-49"&amp;C27)),C27,VALUE("-49"&amp;C27))</f>
        <v>-49</v>
      </c>
      <c r="M27">
        <f>IF(ISERROR(VALUE("-131"&amp;F27)),F27,VALUE("-131"&amp;F27))</f>
        <v>-131</v>
      </c>
      <c r="N27">
        <f>IF(ISERROR(VALUE("-49"&amp;G27)),G27,VALUE("-49"&amp;G27))</f>
        <v>-49</v>
      </c>
    </row>
    <row r="28" spans="1:14">
      <c r="A28" s="4"/>
      <c r="B28" s="4"/>
      <c r="C28" s="4"/>
      <c r="E28" s="4"/>
      <c r="F28" s="4"/>
      <c r="G28" s="4"/>
      <c r="H28" s="4"/>
      <c r="I28">
        <f>IF(ISERROR(VALUE("-131"&amp;B28)),B28,VALUE("-131"&amp;B28))</f>
        <v>-131</v>
      </c>
      <c r="J28">
        <f>IF(ISERROR(VALUE("-49"&amp;C28)),C28,VALUE("-49"&amp;C28))</f>
        <v>-49</v>
      </c>
      <c r="M28">
        <f>IF(ISERROR(VALUE("-131"&amp;F28)),F28,VALUE("-131"&amp;F28))</f>
        <v>-131</v>
      </c>
      <c r="N28">
        <f>IF(ISERROR(VALUE("-49"&amp;G28)),G28,VALUE("-49"&amp;G28))</f>
        <v>-49</v>
      </c>
    </row>
    <row r="29" spans="1:14">
      <c r="A29" s="4"/>
      <c r="B29" s="4"/>
      <c r="C29" s="4"/>
      <c r="E29" s="4"/>
      <c r="F29" s="4"/>
      <c r="G29" s="4"/>
      <c r="H29" s="4"/>
      <c r="I29">
        <f>IF(ISERROR(VALUE("-131"&amp;B29)),B29,VALUE("-131"&amp;B29))</f>
        <v>-131</v>
      </c>
      <c r="J29">
        <f>IF(ISERROR(VALUE("-49"&amp;C29)),C29,VALUE("-49"&amp;C29))</f>
        <v>-49</v>
      </c>
      <c r="M29">
        <f>IF(ISERROR(VALUE("-131"&amp;F29)),F29,VALUE("-131"&amp;F29))</f>
        <v>-131</v>
      </c>
      <c r="N29">
        <f>IF(ISERROR(VALUE("-49"&amp;G29)),G29,VALUE("-49"&amp;G29))</f>
        <v>-49</v>
      </c>
    </row>
    <row r="30" spans="1:14">
      <c r="A30" s="4"/>
      <c r="B30" s="4"/>
      <c r="C30" s="4"/>
      <c r="E30" s="4"/>
      <c r="F30" s="4"/>
      <c r="G30" s="4"/>
      <c r="H30" s="4"/>
      <c r="I30">
        <f>IF(ISERROR(VALUE("-131"&amp;B30)),B30,VALUE("-131"&amp;B30))</f>
        <v>-131</v>
      </c>
      <c r="J30">
        <f>IF(ISERROR(VALUE("-49"&amp;C30)),C30,VALUE("-49"&amp;C30))</f>
        <v>-49</v>
      </c>
      <c r="M30">
        <f>IF(ISERROR(VALUE("-131"&amp;F30)),F30,VALUE("-131"&amp;F30))</f>
        <v>-131</v>
      </c>
      <c r="N30">
        <f>IF(ISERROR(VALUE("-49"&amp;G30)),G30,VALUE("-49"&amp;G30))</f>
        <v>-49</v>
      </c>
    </row>
    <row r="31" spans="1:14">
      <c r="A31" s="4"/>
      <c r="B31" s="4"/>
      <c r="C31" s="4"/>
      <c r="D31" s="4"/>
      <c r="E31" s="4"/>
      <c r="F31" s="5"/>
      <c r="G31" s="5"/>
      <c r="H31" s="4"/>
      <c r="I31">
        <f>IF(ISERROR(VALUE("-131"&amp;B31)),B31,VALUE("-131"&amp;B31))</f>
        <v>-131</v>
      </c>
      <c r="J31">
        <f>IF(ISERROR(VALUE("-49"&amp;C31)),C31,VALUE("-49"&amp;C31))</f>
        <v>-49</v>
      </c>
      <c r="M31">
        <f>IF(ISERROR(VALUE("-131"&amp;F31)),F31,VALUE("-131"&amp;F31))</f>
        <v>-131</v>
      </c>
      <c r="N31">
        <f>IF(ISERROR(VALUE("-49"&amp;G31)),G31,VALUE("-49"&amp;G31))</f>
        <v>-49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1047 深川雨竜線</vt:lpstr>
      <vt:lpstr>3280 妹背牛停車場線</vt:lpstr>
      <vt:lpstr>3284 深川停車場線</vt:lpstr>
      <vt:lpstr>3324 石狩沼田停車場線</vt:lpstr>
      <vt:lpstr>3372 秩父別停車場線</vt:lpstr>
      <vt:lpstr>3429 多度志停車場線</vt:lpstr>
      <vt:lpstr>3565 和停車場線</vt:lpstr>
      <vt:lpstr>4068 留萌北竜線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真斗 荒谷</dc:creator>
  <cp:lastModifiedBy>荒谷真斗</cp:lastModifiedBy>
  <cp:lastPrinted>2025-03-15T02:53:09Z</cp:lastPrinted>
  <dcterms:created xsi:type="dcterms:W3CDTF">2025-03-14T11:16:54Z</dcterms:created>
  <dcterms:modified xsi:type="dcterms:W3CDTF">2025-03-16T05:09:12Z</dcterms:modified>
</cp:coreProperties>
</file>